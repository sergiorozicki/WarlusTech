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0815" windowHeight="363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F83" i="1" l="1"/>
  <c r="K77" i="1" l="1"/>
  <c r="H93" i="1"/>
  <c r="H92" i="1"/>
  <c r="G93" i="1"/>
  <c r="G92" i="1"/>
  <c r="D85" i="1"/>
  <c r="H80" i="1"/>
  <c r="AG42" i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Z33" i="1"/>
  <c r="E20" i="1"/>
  <c r="E18" i="1"/>
  <c r="E89" i="1" l="1"/>
  <c r="E88" i="1"/>
  <c r="E87" i="1"/>
  <c r="E86" i="1"/>
  <c r="E85" i="1"/>
  <c r="P62" i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P42" i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Z37" i="1"/>
  <c r="Z36" i="1"/>
  <c r="Z35" i="1"/>
  <c r="Z34" i="1"/>
  <c r="Y37" i="1"/>
  <c r="Y36" i="1"/>
  <c r="Y35" i="1"/>
  <c r="Y34" i="1"/>
  <c r="Y33" i="1"/>
  <c r="F22" i="1" l="1"/>
  <c r="G22" i="1" s="1"/>
  <c r="E22" i="1"/>
  <c r="F21" i="1"/>
  <c r="G21" i="1" s="1"/>
  <c r="E21" i="1"/>
  <c r="C88" i="1" s="1"/>
  <c r="F20" i="1"/>
  <c r="G20" i="1" s="1"/>
  <c r="F19" i="1"/>
  <c r="G19" i="1" s="1"/>
  <c r="H82" i="1" s="1"/>
  <c r="E19" i="1"/>
  <c r="F18" i="1"/>
  <c r="G18" i="1" s="1"/>
  <c r="D89" i="1" l="1"/>
  <c r="G89" i="1"/>
  <c r="D88" i="1"/>
  <c r="G88" i="1"/>
  <c r="D87" i="1"/>
  <c r="G87" i="1"/>
  <c r="C86" i="1"/>
  <c r="H83" i="1"/>
  <c r="H81" i="1"/>
  <c r="G85" i="1"/>
  <c r="F89" i="1" l="1"/>
  <c r="H89" i="1" s="1"/>
  <c r="F88" i="1"/>
  <c r="H88" i="1" s="1"/>
  <c r="F87" i="1"/>
  <c r="H87" i="1" s="1"/>
  <c r="G83" i="1"/>
  <c r="G81" i="1"/>
  <c r="I81" i="1" s="1"/>
  <c r="G82" i="1"/>
  <c r="I82" i="1" s="1"/>
  <c r="I80" i="1"/>
  <c r="D86" i="1"/>
  <c r="G86" i="1"/>
  <c r="D90" i="1"/>
  <c r="F85" i="1"/>
  <c r="H85" i="1" s="1"/>
  <c r="F86" i="1" l="1"/>
  <c r="H86" i="1" s="1"/>
</calcChain>
</file>

<file path=xl/sharedStrings.xml><?xml version="1.0" encoding="utf-8"?>
<sst xmlns="http://schemas.openxmlformats.org/spreadsheetml/2006/main" count="142" uniqueCount="81">
  <si>
    <t>Ejercicio N° 1:</t>
  </si>
  <si>
    <t>Tarea</t>
  </si>
  <si>
    <t>To</t>
  </si>
  <si>
    <t>Tn</t>
  </si>
  <si>
    <t>Tp</t>
  </si>
  <si>
    <t>Te</t>
  </si>
  <si>
    <t>ot</t>
  </si>
  <si>
    <t>ot² = VAR</t>
  </si>
  <si>
    <t>Recursos</t>
  </si>
  <si>
    <t>A</t>
  </si>
  <si>
    <t>B</t>
  </si>
  <si>
    <t>C</t>
  </si>
  <si>
    <t>D</t>
  </si>
  <si>
    <t>E</t>
  </si>
  <si>
    <t>Precedencias</t>
  </si>
  <si>
    <t>Duración</t>
  </si>
  <si>
    <t>X</t>
  </si>
  <si>
    <t xml:space="preserve"> ------------</t>
  </si>
  <si>
    <t>C es precedido por A y B</t>
  </si>
  <si>
    <t>D es precedido por B</t>
  </si>
  <si>
    <t>E es precedido por D</t>
  </si>
  <si>
    <t>A(3,16)</t>
  </si>
  <si>
    <t>B(4,33)</t>
  </si>
  <si>
    <t>Diagrama de Gantt</t>
  </si>
  <si>
    <t>C(6,16)</t>
  </si>
  <si>
    <t>E(5,16)</t>
  </si>
  <si>
    <t>D(3,83)</t>
  </si>
  <si>
    <t>Camino crítico:</t>
  </si>
  <si>
    <t>B + D + E = 13,32</t>
  </si>
  <si>
    <r>
      <rPr>
        <sz val="11"/>
        <color rgb="FF00B0F0"/>
        <rFont val="Calibri"/>
        <family val="2"/>
        <scheme val="minor"/>
      </rPr>
      <t xml:space="preserve">0   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0</t>
    </r>
  </si>
  <si>
    <r>
      <t xml:space="preserve">13,32  </t>
    </r>
    <r>
      <rPr>
        <sz val="11"/>
        <color rgb="FFFF0000"/>
        <rFont val="Calibri"/>
        <family val="2"/>
        <scheme val="minor"/>
      </rPr>
      <t>13,32</t>
    </r>
  </si>
  <si>
    <r>
      <t xml:space="preserve">4,33  </t>
    </r>
    <r>
      <rPr>
        <sz val="11"/>
        <color rgb="FFFF0000"/>
        <rFont val="Calibri"/>
        <family val="2"/>
        <scheme val="minor"/>
      </rPr>
      <t>7,16</t>
    </r>
  </si>
  <si>
    <r>
      <t xml:space="preserve">4,33  </t>
    </r>
    <r>
      <rPr>
        <sz val="11"/>
        <color rgb="FFFF0000"/>
        <rFont val="Calibri"/>
        <family val="2"/>
        <scheme val="minor"/>
      </rPr>
      <t>4,33</t>
    </r>
  </si>
  <si>
    <t>Fecha inicio</t>
  </si>
  <si>
    <t>Fecha fin</t>
  </si>
  <si>
    <t>Temp.</t>
  </si>
  <si>
    <t>Tard.</t>
  </si>
  <si>
    <t>Tareas</t>
  </si>
  <si>
    <t>Margen</t>
  </si>
  <si>
    <t>Dur.</t>
  </si>
  <si>
    <t>PFC</t>
  </si>
  <si>
    <t>UFC</t>
  </si>
  <si>
    <t>PFF</t>
  </si>
  <si>
    <t>UFF</t>
  </si>
  <si>
    <t>Critica</t>
  </si>
  <si>
    <t>Total</t>
  </si>
  <si>
    <t>Libre</t>
  </si>
  <si>
    <t>H/DIA</t>
  </si>
  <si>
    <t>*</t>
  </si>
  <si>
    <r>
      <t xml:space="preserve">8,16  </t>
    </r>
    <r>
      <rPr>
        <sz val="11"/>
        <color rgb="FFFF0000"/>
        <rFont val="Calibri"/>
        <family val="2"/>
        <scheme val="minor"/>
      </rPr>
      <t>8,16</t>
    </r>
  </si>
  <si>
    <t>Fechas Tempranas</t>
  </si>
  <si>
    <t>Diarios</t>
  </si>
  <si>
    <t>Acum.</t>
  </si>
  <si>
    <t>B(2)</t>
  </si>
  <si>
    <t>D(4)</t>
  </si>
  <si>
    <t>A(2)</t>
  </si>
  <si>
    <t>E(5)</t>
  </si>
  <si>
    <t>C(3)</t>
  </si>
  <si>
    <t>Fechas Tardias</t>
  </si>
  <si>
    <t>1 R. = $</t>
  </si>
  <si>
    <t>Ts</t>
  </si>
  <si>
    <t>σt</t>
  </si>
  <si>
    <t>z</t>
  </si>
  <si>
    <t>ACTIVIDAD</t>
  </si>
  <si>
    <t>T. NORMAL</t>
  </si>
  <si>
    <t>C. NORMAL</t>
  </si>
  <si>
    <t>T. COMPRECION</t>
  </si>
  <si>
    <t>C. COMPRECION</t>
  </si>
  <si>
    <t>T. URGENCIA</t>
  </si>
  <si>
    <t>C. URGENCIA</t>
  </si>
  <si>
    <t>Para reducir 3 dias el tiempo de conclucion costará $ 120 más y se ira a $ 1700</t>
  </si>
  <si>
    <t>Para reducir 5 dias el tiempo de conclucion costará $ 200 más y se ira a $ 1780</t>
  </si>
  <si>
    <t>7)</t>
  </si>
  <si>
    <t>8)</t>
  </si>
  <si>
    <t>9)</t>
  </si>
  <si>
    <t>A(5)</t>
  </si>
  <si>
    <t>B(4)</t>
  </si>
  <si>
    <t>C(9)</t>
  </si>
  <si>
    <t>D(6)</t>
  </si>
  <si>
    <t>E(6)</t>
  </si>
  <si>
    <t>B(3)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</si>
</sst>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0" xfId="0" applyFill="1" applyBorder="1" applyAlignment="1">
      <alignment vertical="center" wrapText="1"/>
    </xf>
    <xf numFmtId="0" fontId="3" fillId="3" borderId="0" xfId="0" applyFont="1" applyFill="1"/>
    <xf numFmtId="0" fontId="0" fillId="3" borderId="0" xfId="0" applyFill="1"/>
    <xf numFmtId="0" fontId="0" fillId="5" borderId="0" xfId="0" applyFill="1"/>
    <xf numFmtId="0" fontId="0" fillId="0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0" fillId="0" borderId="1" xfId="0" applyBorder="1"/>
    <xf numFmtId="0" fontId="2" fillId="9" borderId="1" xfId="0" applyFont="1" applyFill="1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10" borderId="1" xfId="0" applyFont="1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right"/>
    </xf>
    <xf numFmtId="9" fontId="0" fillId="0" borderId="0" xfId="0" applyNumberFormat="1"/>
    <xf numFmtId="0" fontId="0" fillId="12" borderId="0" xfId="0" applyFill="1"/>
    <xf numFmtId="0" fontId="0" fillId="8" borderId="1" xfId="0" applyFill="1" applyBorder="1"/>
    <xf numFmtId="0" fontId="0" fillId="13" borderId="0" xfId="0" applyFill="1"/>
    <xf numFmtId="0" fontId="2" fillId="0" borderId="1" xfId="0" applyFont="1" applyBorder="1"/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Tempranas</c:v>
          </c:tx>
          <c:val>
            <c:numRef>
              <c:f>Hoja1!$O$42:$AC$42</c:f>
              <c:numCache>
                <c:formatCode>General</c:formatCode>
                <c:ptCount val="15"/>
                <c:pt idx="0">
                  <c:v>5</c:v>
                </c:pt>
                <c:pt idx="1">
                  <c:v>13</c:v>
                </c:pt>
                <c:pt idx="2">
                  <c:v>21</c:v>
                </c:pt>
                <c:pt idx="3">
                  <c:v>29</c:v>
                </c:pt>
                <c:pt idx="4">
                  <c:v>34</c:v>
                </c:pt>
                <c:pt idx="5">
                  <c:v>41</c:v>
                </c:pt>
                <c:pt idx="6">
                  <c:v>48</c:v>
                </c:pt>
                <c:pt idx="7">
                  <c:v>55</c:v>
                </c:pt>
                <c:pt idx="8">
                  <c:v>62</c:v>
                </c:pt>
                <c:pt idx="9">
                  <c:v>67</c:v>
                </c:pt>
                <c:pt idx="10">
                  <c:v>72</c:v>
                </c:pt>
                <c:pt idx="11">
                  <c:v>77</c:v>
                </c:pt>
                <c:pt idx="12">
                  <c:v>82</c:v>
                </c:pt>
                <c:pt idx="13">
                  <c:v>87</c:v>
                </c:pt>
                <c:pt idx="14">
                  <c:v>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635632"/>
        <c:axId val="1411636176"/>
      </c:lineChart>
      <c:catAx>
        <c:axId val="141163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1636176"/>
        <c:crosses val="autoZero"/>
        <c:auto val="1"/>
        <c:lblAlgn val="ctr"/>
        <c:lblOffset val="100"/>
        <c:noMultiLvlLbl val="0"/>
      </c:catAx>
      <c:valAx>
        <c:axId val="141163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1635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52916</xdr:colOff>
      <xdr:row>15</xdr:row>
      <xdr:rowOff>116417</xdr:rowOff>
    </xdr:from>
    <xdr:to>
      <xdr:col>9</xdr:col>
      <xdr:colOff>548216</xdr:colOff>
      <xdr:row>18</xdr:row>
      <xdr:rowOff>59586</xdr:rowOff>
    </xdr:to>
    <xdr:sp macro="" textlink="">
      <xdr:nvSpPr>
        <xdr:cNvPr id="4" name="6 Elipse"/>
        <xdr:cNvSpPr/>
      </xdr:nvSpPr>
      <xdr:spPr>
        <a:xfrm>
          <a:off x="7249583" y="2973917"/>
          <a:ext cx="495300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475681</xdr:colOff>
      <xdr:row>14</xdr:row>
      <xdr:rowOff>40377</xdr:rowOff>
    </xdr:from>
    <xdr:to>
      <xdr:col>11</xdr:col>
      <xdr:colOff>593988</xdr:colOff>
      <xdr:row>16</xdr:row>
      <xdr:rowOff>1289</xdr:rowOff>
    </xdr:to>
    <xdr:cxnSp macro="">
      <xdr:nvCxnSpPr>
        <xdr:cNvPr id="5" name="Conector recto de flecha 4"/>
        <xdr:cNvCxnSpPr>
          <a:stCxn id="4" idx="7"/>
          <a:endCxn id="11" idx="2"/>
        </xdr:cNvCxnSpPr>
      </xdr:nvCxnSpPr>
      <xdr:spPr>
        <a:xfrm flipV="1">
          <a:off x="7798025" y="2707377"/>
          <a:ext cx="1332744" cy="34191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593988</xdr:colOff>
      <xdr:row>12</xdr:row>
      <xdr:rowOff>164042</xdr:rowOff>
    </xdr:from>
    <xdr:to>
      <xdr:col>12</xdr:col>
      <xdr:colOff>482070</xdr:colOff>
      <xdr:row>15</xdr:row>
      <xdr:rowOff>107211</xdr:rowOff>
    </xdr:to>
    <xdr:sp macro="" textlink="">
      <xdr:nvSpPr>
        <xdr:cNvPr id="11" name="6 Elipse"/>
        <xdr:cNvSpPr/>
      </xdr:nvSpPr>
      <xdr:spPr>
        <a:xfrm>
          <a:off x="9130769" y="2450042"/>
          <a:ext cx="495301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2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537861</xdr:colOff>
      <xdr:row>18</xdr:row>
      <xdr:rowOff>39876</xdr:rowOff>
    </xdr:from>
    <xdr:to>
      <xdr:col>12</xdr:col>
      <xdr:colOff>425942</xdr:colOff>
      <xdr:row>20</xdr:row>
      <xdr:rowOff>173545</xdr:rowOff>
    </xdr:to>
    <xdr:sp macro="" textlink="">
      <xdr:nvSpPr>
        <xdr:cNvPr id="15" name="6 Elipse"/>
        <xdr:cNvSpPr/>
      </xdr:nvSpPr>
      <xdr:spPr>
        <a:xfrm>
          <a:off x="11287504" y="3468876"/>
          <a:ext cx="500402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3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475681</xdr:colOff>
      <xdr:row>17</xdr:row>
      <xdr:rowOff>174714</xdr:rowOff>
    </xdr:from>
    <xdr:to>
      <xdr:col>11</xdr:col>
      <xdr:colOff>537861</xdr:colOff>
      <xdr:row>19</xdr:row>
      <xdr:rowOff>106711</xdr:rowOff>
    </xdr:to>
    <xdr:cxnSp macro="">
      <xdr:nvCxnSpPr>
        <xdr:cNvPr id="16" name="Conector recto de flecha 15"/>
        <xdr:cNvCxnSpPr>
          <a:stCxn id="4" idx="5"/>
          <a:endCxn id="15" idx="2"/>
        </xdr:cNvCxnSpPr>
      </xdr:nvCxnSpPr>
      <xdr:spPr>
        <a:xfrm>
          <a:off x="10000681" y="3413214"/>
          <a:ext cx="1286823" cy="31299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511665</xdr:colOff>
      <xdr:row>27</xdr:row>
      <xdr:rowOff>107233</xdr:rowOff>
    </xdr:from>
    <xdr:to>
      <xdr:col>12</xdr:col>
      <xdr:colOff>399746</xdr:colOff>
      <xdr:row>30</xdr:row>
      <xdr:rowOff>50402</xdr:rowOff>
    </xdr:to>
    <xdr:sp macro="" textlink="">
      <xdr:nvSpPr>
        <xdr:cNvPr id="22" name="6 Elipse"/>
        <xdr:cNvSpPr/>
      </xdr:nvSpPr>
      <xdr:spPr>
        <a:xfrm>
          <a:off x="11261308" y="5250733"/>
          <a:ext cx="500402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4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300566</xdr:colOff>
      <xdr:row>18</xdr:row>
      <xdr:rowOff>59586</xdr:rowOff>
    </xdr:from>
    <xdr:to>
      <xdr:col>11</xdr:col>
      <xdr:colOff>584947</xdr:colOff>
      <xdr:row>27</xdr:row>
      <xdr:rowOff>182605</xdr:rowOff>
    </xdr:to>
    <xdr:cxnSp macro="">
      <xdr:nvCxnSpPr>
        <xdr:cNvPr id="24" name="Conector recto de flecha 23"/>
        <xdr:cNvCxnSpPr>
          <a:stCxn id="4" idx="4"/>
          <a:endCxn id="22" idx="1"/>
        </xdr:cNvCxnSpPr>
      </xdr:nvCxnSpPr>
      <xdr:spPr>
        <a:xfrm>
          <a:off x="9825566" y="3488586"/>
          <a:ext cx="1509024" cy="18375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326464</xdr:colOff>
      <xdr:row>15</xdr:row>
      <xdr:rowOff>66197</xdr:rowOff>
    </xdr:from>
    <xdr:to>
      <xdr:col>14</xdr:col>
      <xdr:colOff>538341</xdr:colOff>
      <xdr:row>27</xdr:row>
      <xdr:rowOff>182605</xdr:rowOff>
    </xdr:to>
    <xdr:cxnSp macro="">
      <xdr:nvCxnSpPr>
        <xdr:cNvPr id="52" name="30 Conector recto de flecha"/>
        <xdr:cNvCxnSpPr>
          <a:stCxn id="22" idx="7"/>
          <a:endCxn id="57" idx="3"/>
        </xdr:cNvCxnSpPr>
      </xdr:nvCxnSpPr>
      <xdr:spPr>
        <a:xfrm flipV="1">
          <a:off x="11688428" y="2923697"/>
          <a:ext cx="1436520" cy="2402408"/>
        </a:xfrm>
        <a:prstGeom prst="straightConnector1">
          <a:avLst/>
        </a:prstGeom>
        <a:ln>
          <a:prstDash val="dash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465059</xdr:colOff>
      <xdr:row>13</xdr:row>
      <xdr:rowOff>7900</xdr:rowOff>
    </xdr:from>
    <xdr:to>
      <xdr:col>15</xdr:col>
      <xdr:colOff>353141</xdr:colOff>
      <xdr:row>15</xdr:row>
      <xdr:rowOff>141569</xdr:rowOff>
    </xdr:to>
    <xdr:sp macro="" textlink="">
      <xdr:nvSpPr>
        <xdr:cNvPr id="57" name="6 Elipse"/>
        <xdr:cNvSpPr/>
      </xdr:nvSpPr>
      <xdr:spPr>
        <a:xfrm>
          <a:off x="13051666" y="2484400"/>
          <a:ext cx="500404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5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453157</xdr:colOff>
      <xdr:row>14</xdr:row>
      <xdr:rowOff>20306</xdr:rowOff>
    </xdr:from>
    <xdr:to>
      <xdr:col>14</xdr:col>
      <xdr:colOff>465059</xdr:colOff>
      <xdr:row>14</xdr:row>
      <xdr:rowOff>25069</xdr:rowOff>
    </xdr:to>
    <xdr:cxnSp macro="">
      <xdr:nvCxnSpPr>
        <xdr:cNvPr id="58" name="Conector recto de flecha 57"/>
        <xdr:cNvCxnSpPr/>
      </xdr:nvCxnSpPr>
      <xdr:spPr>
        <a:xfrm flipV="1">
          <a:off x="11815121" y="2687306"/>
          <a:ext cx="1236545" cy="4763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364197</xdr:colOff>
      <xdr:row>15</xdr:row>
      <xdr:rowOff>141569</xdr:rowOff>
    </xdr:from>
    <xdr:to>
      <xdr:col>15</xdr:col>
      <xdr:colOff>102939</xdr:colOff>
      <xdr:row>23</xdr:row>
      <xdr:rowOff>37836</xdr:rowOff>
    </xdr:to>
    <xdr:cxnSp macro="">
      <xdr:nvCxnSpPr>
        <xdr:cNvPr id="65" name="Conector recto de flecha 64"/>
        <xdr:cNvCxnSpPr>
          <a:stCxn id="57" idx="4"/>
          <a:endCxn id="59" idx="0"/>
        </xdr:cNvCxnSpPr>
      </xdr:nvCxnSpPr>
      <xdr:spPr>
        <a:xfrm flipH="1">
          <a:off x="12950804" y="2999069"/>
          <a:ext cx="351064" cy="142026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357187</xdr:colOff>
      <xdr:row>23</xdr:row>
      <xdr:rowOff>95250</xdr:rowOff>
    </xdr:from>
    <xdr:to>
      <xdr:col>28</xdr:col>
      <xdr:colOff>190500</xdr:colOff>
      <xdr:row>28</xdr:row>
      <xdr:rowOff>50908</xdr:rowOff>
    </xdr:to>
    <xdr:sp macro="" textlink="">
      <xdr:nvSpPr>
        <xdr:cNvPr id="13" name="190 Rombo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000-0000BF000000}"/>
            </a:ext>
          </a:extLst>
        </xdr:cNvPr>
        <xdr:cNvSpPr/>
      </xdr:nvSpPr>
      <xdr:spPr>
        <a:xfrm>
          <a:off x="18002250" y="4476750"/>
          <a:ext cx="1047750" cy="908158"/>
        </a:xfrm>
        <a:prstGeom prst="diamond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/>
        </a:p>
      </xdr:txBody>
    </xdr:sp>
    <xdr:clientData/>
  </xdr:twoCellAnchor>
  <xdr:twoCellAnchor>
    <xdr:from>
      <xdr:col>21</xdr:col>
      <xdr:colOff>366713</xdr:colOff>
      <xdr:row>13</xdr:row>
      <xdr:rowOff>45244</xdr:rowOff>
    </xdr:from>
    <xdr:to>
      <xdr:col>23</xdr:col>
      <xdr:colOff>200026</xdr:colOff>
      <xdr:row>18</xdr:row>
      <xdr:rowOff>902</xdr:rowOff>
    </xdr:to>
    <xdr:sp macro="" textlink="">
      <xdr:nvSpPr>
        <xdr:cNvPr id="14" name="190 Rombo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000-0000BF000000}"/>
            </a:ext>
          </a:extLst>
        </xdr:cNvPr>
        <xdr:cNvSpPr/>
      </xdr:nvSpPr>
      <xdr:spPr>
        <a:xfrm>
          <a:off x="14975682" y="2521744"/>
          <a:ext cx="1047750" cy="908158"/>
        </a:xfrm>
        <a:prstGeom prst="diamond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/>
        </a:p>
      </xdr:txBody>
    </xdr:sp>
    <xdr:clientData/>
  </xdr:twoCellAnchor>
  <xdr:twoCellAnchor>
    <xdr:from>
      <xdr:col>18</xdr:col>
      <xdr:colOff>411957</xdr:colOff>
      <xdr:row>18</xdr:row>
      <xdr:rowOff>30957</xdr:rowOff>
    </xdr:from>
    <xdr:to>
      <xdr:col>20</xdr:col>
      <xdr:colOff>245270</xdr:colOff>
      <xdr:row>22</xdr:row>
      <xdr:rowOff>177115</xdr:rowOff>
    </xdr:to>
    <xdr:sp macro="" textlink="">
      <xdr:nvSpPr>
        <xdr:cNvPr id="17" name="190 Rombo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000-0000BF000000}"/>
            </a:ext>
          </a:extLst>
        </xdr:cNvPr>
        <xdr:cNvSpPr/>
      </xdr:nvSpPr>
      <xdr:spPr>
        <a:xfrm>
          <a:off x="13199270" y="3459957"/>
          <a:ext cx="1047750" cy="908158"/>
        </a:xfrm>
        <a:prstGeom prst="diamond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/>
        </a:p>
      </xdr:txBody>
    </xdr:sp>
    <xdr:clientData/>
  </xdr:twoCellAnchor>
  <xdr:twoCellAnchor>
    <xdr:from>
      <xdr:col>28</xdr:col>
      <xdr:colOff>385762</xdr:colOff>
      <xdr:row>15</xdr:row>
      <xdr:rowOff>64294</xdr:rowOff>
    </xdr:from>
    <xdr:to>
      <xdr:col>30</xdr:col>
      <xdr:colOff>219074</xdr:colOff>
      <xdr:row>20</xdr:row>
      <xdr:rowOff>19952</xdr:rowOff>
    </xdr:to>
    <xdr:sp macro="" textlink="">
      <xdr:nvSpPr>
        <xdr:cNvPr id="18" name="190 Rombo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000-0000BF000000}"/>
            </a:ext>
          </a:extLst>
        </xdr:cNvPr>
        <xdr:cNvSpPr/>
      </xdr:nvSpPr>
      <xdr:spPr>
        <a:xfrm>
          <a:off x="19245262" y="2921794"/>
          <a:ext cx="1047750" cy="908158"/>
        </a:xfrm>
        <a:prstGeom prst="diamond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/>
        </a:p>
      </xdr:txBody>
    </xdr:sp>
    <xdr:clientData/>
  </xdr:twoCellAnchor>
  <xdr:twoCellAnchor>
    <xdr:from>
      <xdr:col>21</xdr:col>
      <xdr:colOff>395287</xdr:colOff>
      <xdr:row>23</xdr:row>
      <xdr:rowOff>73819</xdr:rowOff>
    </xdr:from>
    <xdr:to>
      <xdr:col>23</xdr:col>
      <xdr:colOff>228600</xdr:colOff>
      <xdr:row>28</xdr:row>
      <xdr:rowOff>29477</xdr:rowOff>
    </xdr:to>
    <xdr:sp macro="" textlink="">
      <xdr:nvSpPr>
        <xdr:cNvPr id="19" name="190 Rombo">
          <a:extLst>
            <a:ext uri="{FF2B5EF4-FFF2-40B4-BE49-F238E27FC236}">
              <a16:creationId xmlns:lc="http://schemas.openxmlformats.org/drawingml/2006/lockedCanvas" xmlns="" xmlns:a16="http://schemas.microsoft.com/office/drawing/2014/main" id="{00000000-0008-0000-0000-0000BF000000}"/>
            </a:ext>
          </a:extLst>
        </xdr:cNvPr>
        <xdr:cNvSpPr/>
      </xdr:nvSpPr>
      <xdr:spPr>
        <a:xfrm>
          <a:off x="15004256" y="4455319"/>
          <a:ext cx="1047750" cy="908158"/>
        </a:xfrm>
        <a:prstGeom prst="diamond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s-AR"/>
        </a:p>
      </xdr:txBody>
    </xdr:sp>
    <xdr:clientData/>
  </xdr:twoCellAnchor>
  <xdr:twoCellAnchor>
    <xdr:from>
      <xdr:col>24</xdr:col>
      <xdr:colOff>601888</xdr:colOff>
      <xdr:row>15</xdr:row>
      <xdr:rowOff>175120</xdr:rowOff>
    </xdr:from>
    <xdr:to>
      <xdr:col>27</xdr:col>
      <xdr:colOff>559594</xdr:colOff>
      <xdr:row>16</xdr:row>
      <xdr:rowOff>95250</xdr:rowOff>
    </xdr:to>
    <xdr:cxnSp macro="">
      <xdr:nvCxnSpPr>
        <xdr:cNvPr id="21" name="Conector recto de flecha 20"/>
        <xdr:cNvCxnSpPr/>
      </xdr:nvCxnSpPr>
      <xdr:spPr>
        <a:xfrm>
          <a:off x="17032513" y="3032620"/>
          <a:ext cx="1779362" cy="11063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404812</xdr:colOff>
      <xdr:row>17</xdr:row>
      <xdr:rowOff>71437</xdr:rowOff>
    </xdr:from>
    <xdr:to>
      <xdr:col>21</xdr:col>
      <xdr:colOff>130968</xdr:colOff>
      <xdr:row>18</xdr:row>
      <xdr:rowOff>166688</xdr:rowOff>
    </xdr:to>
    <xdr:cxnSp macro="">
      <xdr:nvCxnSpPr>
        <xdr:cNvPr id="26" name="Conector recto de flecha 25"/>
        <xdr:cNvCxnSpPr/>
      </xdr:nvCxnSpPr>
      <xdr:spPr>
        <a:xfrm flipV="1">
          <a:off x="14406562" y="3309937"/>
          <a:ext cx="333375" cy="2857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285749</xdr:colOff>
      <xdr:row>18</xdr:row>
      <xdr:rowOff>178594</xdr:rowOff>
    </xdr:from>
    <xdr:to>
      <xdr:col>22</xdr:col>
      <xdr:colOff>297656</xdr:colOff>
      <xdr:row>22</xdr:row>
      <xdr:rowOff>23812</xdr:rowOff>
    </xdr:to>
    <xdr:cxnSp macro="">
      <xdr:nvCxnSpPr>
        <xdr:cNvPr id="32" name="30 Conector recto de flecha"/>
        <xdr:cNvCxnSpPr/>
      </xdr:nvCxnSpPr>
      <xdr:spPr>
        <a:xfrm flipH="1" flipV="1">
          <a:off x="15501937" y="3607594"/>
          <a:ext cx="11907" cy="607218"/>
        </a:xfrm>
        <a:prstGeom prst="straightConnector1">
          <a:avLst/>
        </a:prstGeom>
        <a:ln>
          <a:prstDash val="dash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104207</xdr:colOff>
      <xdr:row>20</xdr:row>
      <xdr:rowOff>47625</xdr:rowOff>
    </xdr:from>
    <xdr:to>
      <xdr:col>28</xdr:col>
      <xdr:colOff>392906</xdr:colOff>
      <xdr:row>22</xdr:row>
      <xdr:rowOff>172333</xdr:rowOff>
    </xdr:to>
    <xdr:cxnSp macro="">
      <xdr:nvCxnSpPr>
        <xdr:cNvPr id="36" name="Conector recto de flecha 35"/>
        <xdr:cNvCxnSpPr/>
      </xdr:nvCxnSpPr>
      <xdr:spPr>
        <a:xfrm flipV="1">
          <a:off x="18963707" y="3857625"/>
          <a:ext cx="288699" cy="505708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30388</xdr:colOff>
      <xdr:row>25</xdr:row>
      <xdr:rowOff>146139</xdr:rowOff>
    </xdr:from>
    <xdr:to>
      <xdr:col>25</xdr:col>
      <xdr:colOff>47625</xdr:colOff>
      <xdr:row>25</xdr:row>
      <xdr:rowOff>154781</xdr:rowOff>
    </xdr:to>
    <xdr:cxnSp macro="">
      <xdr:nvCxnSpPr>
        <xdr:cNvPr id="37" name="Conector recto de flecha 36"/>
        <xdr:cNvCxnSpPr/>
      </xdr:nvCxnSpPr>
      <xdr:spPr>
        <a:xfrm>
          <a:off x="16461013" y="4908639"/>
          <a:ext cx="624456" cy="8642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337569</xdr:colOff>
      <xdr:row>23</xdr:row>
      <xdr:rowOff>883</xdr:rowOff>
    </xdr:from>
    <xdr:to>
      <xdr:col>21</xdr:col>
      <xdr:colOff>71437</xdr:colOff>
      <xdr:row>24</xdr:row>
      <xdr:rowOff>0</xdr:rowOff>
    </xdr:to>
    <xdr:cxnSp macro="">
      <xdr:nvCxnSpPr>
        <xdr:cNvPr id="38" name="Conector recto de flecha 37"/>
        <xdr:cNvCxnSpPr/>
      </xdr:nvCxnSpPr>
      <xdr:spPr>
        <a:xfrm>
          <a:off x="14339319" y="4382383"/>
          <a:ext cx="341087" cy="189617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557892</xdr:colOff>
      <xdr:row>49</xdr:row>
      <xdr:rowOff>68036</xdr:rowOff>
    </xdr:from>
    <xdr:to>
      <xdr:col>14</xdr:col>
      <xdr:colOff>217713</xdr:colOff>
      <xdr:row>50</xdr:row>
      <xdr:rowOff>189139</xdr:rowOff>
    </xdr:to>
    <xdr:sp macro="" textlink="">
      <xdr:nvSpPr>
        <xdr:cNvPr id="72" name="220 Elipse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/>
      </xdr:nvSpPr>
      <xdr:spPr>
        <a:xfrm>
          <a:off x="40743867" y="29433611"/>
          <a:ext cx="421821" cy="311603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18</xdr:col>
      <xdr:colOff>466392</xdr:colOff>
      <xdr:row>49</xdr:row>
      <xdr:rowOff>44224</xdr:rowOff>
    </xdr:from>
    <xdr:to>
      <xdr:col>19</xdr:col>
      <xdr:colOff>205807</xdr:colOff>
      <xdr:row>50</xdr:row>
      <xdr:rowOff>160894</xdr:rowOff>
    </xdr:to>
    <xdr:sp macro="" textlink="">
      <xdr:nvSpPr>
        <xdr:cNvPr id="73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15502285" y="9378724"/>
          <a:ext cx="351736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2</a:t>
          </a:r>
          <a:endParaRPr lang="es-ES" sz="1600" b="1"/>
        </a:p>
      </xdr:txBody>
    </xdr:sp>
    <xdr:clientData/>
  </xdr:twoCellAnchor>
  <xdr:twoCellAnchor>
    <xdr:from>
      <xdr:col>22</xdr:col>
      <xdr:colOff>553647</xdr:colOff>
      <xdr:row>49</xdr:row>
      <xdr:rowOff>57532</xdr:rowOff>
    </xdr:from>
    <xdr:to>
      <xdr:col>23</xdr:col>
      <xdr:colOff>218014</xdr:colOff>
      <xdr:row>50</xdr:row>
      <xdr:rowOff>179894</xdr:rowOff>
    </xdr:to>
    <xdr:sp macro="" textlink="">
      <xdr:nvSpPr>
        <xdr:cNvPr id="74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8038826" y="9392032"/>
          <a:ext cx="303902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5</a:t>
          </a:r>
        </a:p>
      </xdr:txBody>
    </xdr:sp>
    <xdr:clientData/>
  </xdr:twoCellAnchor>
  <xdr:twoCellAnchor>
    <xdr:from>
      <xdr:col>17</xdr:col>
      <xdr:colOff>593301</xdr:colOff>
      <xdr:row>45</xdr:row>
      <xdr:rowOff>64033</xdr:rowOff>
    </xdr:from>
    <xdr:to>
      <xdr:col>18</xdr:col>
      <xdr:colOff>252131</xdr:colOff>
      <xdr:row>47</xdr:row>
      <xdr:rowOff>116060</xdr:rowOff>
    </xdr:to>
    <xdr:sp macro="" textlink="">
      <xdr:nvSpPr>
        <xdr:cNvPr id="75" name="259 Elipse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/>
      </xdr:nvSpPr>
      <xdr:spPr>
        <a:xfrm>
          <a:off x="15016872" y="8636533"/>
          <a:ext cx="271152" cy="433027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3</a:t>
          </a:r>
          <a:endParaRPr lang="es-ES" sz="1600" b="1"/>
        </a:p>
      </xdr:txBody>
    </xdr:sp>
    <xdr:clientData/>
  </xdr:twoCellAnchor>
  <xdr:twoCellAnchor>
    <xdr:from>
      <xdr:col>14</xdr:col>
      <xdr:colOff>220756</xdr:colOff>
      <xdr:row>50</xdr:row>
      <xdr:rowOff>0</xdr:rowOff>
    </xdr:from>
    <xdr:to>
      <xdr:col>18</xdr:col>
      <xdr:colOff>449036</xdr:colOff>
      <xdr:row>50</xdr:row>
      <xdr:rowOff>119344</xdr:rowOff>
    </xdr:to>
    <xdr:sp macro="" textlink="">
      <xdr:nvSpPr>
        <xdr:cNvPr id="76" name="Flecha derecha 75"/>
        <xdr:cNvSpPr/>
      </xdr:nvSpPr>
      <xdr:spPr>
        <a:xfrm>
          <a:off x="12807363" y="9525000"/>
          <a:ext cx="2677566" cy="119344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19</xdr:col>
      <xdr:colOff>200705</xdr:colOff>
      <xdr:row>49</xdr:row>
      <xdr:rowOff>145677</xdr:rowOff>
    </xdr:from>
    <xdr:to>
      <xdr:col>22</xdr:col>
      <xdr:colOff>610521</xdr:colOff>
      <xdr:row>50</xdr:row>
      <xdr:rowOff>118783</xdr:rowOff>
    </xdr:to>
    <xdr:sp macro="" textlink="">
      <xdr:nvSpPr>
        <xdr:cNvPr id="77" name="Flecha derecha 76"/>
        <xdr:cNvSpPr/>
      </xdr:nvSpPr>
      <xdr:spPr>
        <a:xfrm>
          <a:off x="15848919" y="9480177"/>
          <a:ext cx="2246781" cy="163606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10205</xdr:colOff>
      <xdr:row>45</xdr:row>
      <xdr:rowOff>68035</xdr:rowOff>
    </xdr:from>
    <xdr:to>
      <xdr:col>17</xdr:col>
      <xdr:colOff>598715</xdr:colOff>
      <xdr:row>49</xdr:row>
      <xdr:rowOff>63932</xdr:rowOff>
    </xdr:to>
    <xdr:sp macro="" textlink="">
      <xdr:nvSpPr>
        <xdr:cNvPr id="78" name="Flecha doblada 77"/>
        <xdr:cNvSpPr/>
      </xdr:nvSpPr>
      <xdr:spPr>
        <a:xfrm>
          <a:off x="12596812" y="8640535"/>
          <a:ext cx="2425474" cy="757897"/>
        </a:xfrm>
        <a:prstGeom prst="bentArrow">
          <a:avLst>
            <a:gd name="adj1" fmla="val 9006"/>
            <a:gd name="adj2" fmla="val 22620"/>
            <a:gd name="adj3" fmla="val 29000"/>
            <a:gd name="adj4" fmla="val 22128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488533</xdr:colOff>
      <xdr:row>49</xdr:row>
      <xdr:rowOff>42443</xdr:rowOff>
    </xdr:from>
    <xdr:to>
      <xdr:col>29</xdr:col>
      <xdr:colOff>144395</xdr:colOff>
      <xdr:row>50</xdr:row>
      <xdr:rowOff>164805</xdr:rowOff>
    </xdr:to>
    <xdr:sp macro="" textlink="">
      <xdr:nvSpPr>
        <xdr:cNvPr id="81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21715676" y="9376943"/>
          <a:ext cx="268183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6</a:t>
          </a:r>
        </a:p>
      </xdr:txBody>
    </xdr:sp>
    <xdr:clientData/>
  </xdr:twoCellAnchor>
  <xdr:twoCellAnchor>
    <xdr:from>
      <xdr:col>13</xdr:col>
      <xdr:colOff>496330</xdr:colOff>
      <xdr:row>49</xdr:row>
      <xdr:rowOff>69057</xdr:rowOff>
    </xdr:from>
    <xdr:to>
      <xdr:col>14</xdr:col>
      <xdr:colOff>235744</xdr:colOff>
      <xdr:row>50</xdr:row>
      <xdr:rowOff>185727</xdr:rowOff>
    </xdr:to>
    <xdr:sp macro="" textlink="">
      <xdr:nvSpPr>
        <xdr:cNvPr id="82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496330" y="9213057"/>
          <a:ext cx="346633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23</xdr:col>
      <xdr:colOff>210230</xdr:colOff>
      <xdr:row>49</xdr:row>
      <xdr:rowOff>163286</xdr:rowOff>
    </xdr:from>
    <xdr:to>
      <xdr:col>28</xdr:col>
      <xdr:colOff>585107</xdr:colOff>
      <xdr:row>50</xdr:row>
      <xdr:rowOff>104494</xdr:rowOff>
    </xdr:to>
    <xdr:sp macro="" textlink="">
      <xdr:nvSpPr>
        <xdr:cNvPr id="83" name="Flecha derecha 82"/>
        <xdr:cNvSpPr/>
      </xdr:nvSpPr>
      <xdr:spPr>
        <a:xfrm>
          <a:off x="18334944" y="9497786"/>
          <a:ext cx="3477306" cy="131708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252131</xdr:colOff>
      <xdr:row>46</xdr:row>
      <xdr:rowOff>90047</xdr:rowOff>
    </xdr:from>
    <xdr:to>
      <xdr:col>23</xdr:col>
      <xdr:colOff>66063</xdr:colOff>
      <xdr:row>49</xdr:row>
      <xdr:rowOff>57532</xdr:rowOff>
    </xdr:to>
    <xdr:cxnSp macro="">
      <xdr:nvCxnSpPr>
        <xdr:cNvPr id="84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stCxn id="75" idx="6"/>
          <a:endCxn id="74" idx="0"/>
        </xdr:cNvCxnSpPr>
      </xdr:nvCxnSpPr>
      <xdr:spPr>
        <a:xfrm>
          <a:off x="15288024" y="8853047"/>
          <a:ext cx="2902753" cy="538985"/>
        </a:xfrm>
        <a:prstGeom prst="bentConnector2">
          <a:avLst/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27215</xdr:colOff>
      <xdr:row>50</xdr:row>
      <xdr:rowOff>179894</xdr:rowOff>
    </xdr:from>
    <xdr:to>
      <xdr:col>23</xdr:col>
      <xdr:colOff>66063</xdr:colOff>
      <xdr:row>52</xdr:row>
      <xdr:rowOff>176894</xdr:rowOff>
    </xdr:to>
    <xdr:cxnSp macro="">
      <xdr:nvCxnSpPr>
        <xdr:cNvPr id="85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endCxn id="74" idx="4"/>
        </xdr:cNvCxnSpPr>
      </xdr:nvCxnSpPr>
      <xdr:spPr>
        <a:xfrm rot="5400000" flipH="1" flipV="1">
          <a:off x="17982353" y="9874470"/>
          <a:ext cx="378000" cy="38848"/>
        </a:xfrm>
        <a:prstGeom prst="bentConnector3">
          <a:avLst>
            <a:gd name="adj1" fmla="val 50000"/>
          </a:avLst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557892</xdr:colOff>
      <xdr:row>69</xdr:row>
      <xdr:rowOff>68036</xdr:rowOff>
    </xdr:from>
    <xdr:to>
      <xdr:col>14</xdr:col>
      <xdr:colOff>217713</xdr:colOff>
      <xdr:row>70</xdr:row>
      <xdr:rowOff>189139</xdr:rowOff>
    </xdr:to>
    <xdr:sp macro="" textlink="">
      <xdr:nvSpPr>
        <xdr:cNvPr id="87" name="220 Elipse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/>
      </xdr:nvSpPr>
      <xdr:spPr>
        <a:xfrm>
          <a:off x="10916330" y="9402536"/>
          <a:ext cx="0" cy="311603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17</xdr:col>
      <xdr:colOff>439178</xdr:colOff>
      <xdr:row>69</xdr:row>
      <xdr:rowOff>71438</xdr:rowOff>
    </xdr:from>
    <xdr:to>
      <xdr:col>18</xdr:col>
      <xdr:colOff>178592</xdr:colOff>
      <xdr:row>70</xdr:row>
      <xdr:rowOff>188108</xdr:rowOff>
    </xdr:to>
    <xdr:sp macro="" textlink="">
      <xdr:nvSpPr>
        <xdr:cNvPr id="88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12619272" y="9405938"/>
          <a:ext cx="346633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2</a:t>
          </a:r>
          <a:endParaRPr lang="es-ES" sz="1600" b="1"/>
        </a:p>
      </xdr:txBody>
    </xdr:sp>
    <xdr:clientData/>
  </xdr:twoCellAnchor>
  <xdr:twoCellAnchor>
    <xdr:from>
      <xdr:col>21</xdr:col>
      <xdr:colOff>499219</xdr:colOff>
      <xdr:row>69</xdr:row>
      <xdr:rowOff>71139</xdr:rowOff>
    </xdr:from>
    <xdr:to>
      <xdr:col>22</xdr:col>
      <xdr:colOff>190799</xdr:colOff>
      <xdr:row>71</xdr:row>
      <xdr:rowOff>3001</xdr:rowOff>
    </xdr:to>
    <xdr:sp macro="" textlink="">
      <xdr:nvSpPr>
        <xdr:cNvPr id="89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5108188" y="9405639"/>
          <a:ext cx="298799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4</a:t>
          </a:r>
          <a:endParaRPr lang="es-ES" sz="1600" b="1"/>
        </a:p>
      </xdr:txBody>
    </xdr:sp>
    <xdr:clientData/>
  </xdr:twoCellAnchor>
  <xdr:twoCellAnchor>
    <xdr:from>
      <xdr:col>16</xdr:col>
      <xdr:colOff>552479</xdr:colOff>
      <xdr:row>64</xdr:row>
      <xdr:rowOff>172891</xdr:rowOff>
    </xdr:from>
    <xdr:to>
      <xdr:col>17</xdr:col>
      <xdr:colOff>211310</xdr:colOff>
      <xdr:row>67</xdr:row>
      <xdr:rowOff>34418</xdr:rowOff>
    </xdr:to>
    <xdr:sp macro="" textlink="">
      <xdr:nvSpPr>
        <xdr:cNvPr id="90" name="259 Elipse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/>
      </xdr:nvSpPr>
      <xdr:spPr>
        <a:xfrm>
          <a:off x="12125354" y="8554891"/>
          <a:ext cx="266050" cy="433027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3</a:t>
          </a:r>
          <a:endParaRPr lang="es-ES" sz="1600" b="1"/>
        </a:p>
      </xdr:txBody>
    </xdr:sp>
    <xdr:clientData/>
  </xdr:twoCellAnchor>
  <xdr:twoCellAnchor>
    <xdr:from>
      <xdr:col>14</xdr:col>
      <xdr:colOff>220756</xdr:colOff>
      <xdr:row>69</xdr:row>
      <xdr:rowOff>154781</xdr:rowOff>
    </xdr:from>
    <xdr:to>
      <xdr:col>17</xdr:col>
      <xdr:colOff>523875</xdr:colOff>
      <xdr:row>70</xdr:row>
      <xdr:rowOff>119344</xdr:rowOff>
    </xdr:to>
    <xdr:sp macro="" textlink="">
      <xdr:nvSpPr>
        <xdr:cNvPr id="91" name="Flecha derecha 90"/>
        <xdr:cNvSpPr/>
      </xdr:nvSpPr>
      <xdr:spPr>
        <a:xfrm>
          <a:off x="10579194" y="9489281"/>
          <a:ext cx="2124775" cy="155063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146276</xdr:colOff>
      <xdr:row>69</xdr:row>
      <xdr:rowOff>145677</xdr:rowOff>
    </xdr:from>
    <xdr:to>
      <xdr:col>21</xdr:col>
      <xdr:colOff>556093</xdr:colOff>
      <xdr:row>70</xdr:row>
      <xdr:rowOff>118783</xdr:rowOff>
    </xdr:to>
    <xdr:sp macro="" textlink="">
      <xdr:nvSpPr>
        <xdr:cNvPr id="92" name="Flecha derecha 91"/>
        <xdr:cNvSpPr/>
      </xdr:nvSpPr>
      <xdr:spPr>
        <a:xfrm>
          <a:off x="12933589" y="9480177"/>
          <a:ext cx="2231473" cy="163606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14</xdr:col>
      <xdr:colOff>10205</xdr:colOff>
      <xdr:row>65</xdr:row>
      <xdr:rowOff>59531</xdr:rowOff>
    </xdr:from>
    <xdr:to>
      <xdr:col>16</xdr:col>
      <xdr:colOff>559594</xdr:colOff>
      <xdr:row>69</xdr:row>
      <xdr:rowOff>63933</xdr:rowOff>
    </xdr:to>
    <xdr:sp macro="" textlink="">
      <xdr:nvSpPr>
        <xdr:cNvPr id="93" name="Flecha doblada 92"/>
        <xdr:cNvSpPr/>
      </xdr:nvSpPr>
      <xdr:spPr>
        <a:xfrm>
          <a:off x="10368643" y="8632031"/>
          <a:ext cx="1763826" cy="766402"/>
        </a:xfrm>
        <a:prstGeom prst="bentArrow">
          <a:avLst>
            <a:gd name="adj1" fmla="val 9006"/>
            <a:gd name="adj2" fmla="val 22620"/>
            <a:gd name="adj3" fmla="val 29000"/>
            <a:gd name="adj4" fmla="val 22128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420498</xdr:colOff>
      <xdr:row>69</xdr:row>
      <xdr:rowOff>28837</xdr:rowOff>
    </xdr:from>
    <xdr:to>
      <xdr:col>27</xdr:col>
      <xdr:colOff>76360</xdr:colOff>
      <xdr:row>70</xdr:row>
      <xdr:rowOff>151199</xdr:rowOff>
    </xdr:to>
    <xdr:sp macro="" textlink="">
      <xdr:nvSpPr>
        <xdr:cNvPr id="95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8101279" y="9363337"/>
          <a:ext cx="263081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5</a:t>
          </a:r>
          <a:endParaRPr lang="es-ES" sz="1600" b="1"/>
        </a:p>
      </xdr:txBody>
    </xdr:sp>
    <xdr:clientData/>
  </xdr:twoCellAnchor>
  <xdr:twoCellAnchor>
    <xdr:from>
      <xdr:col>13</xdr:col>
      <xdr:colOff>496330</xdr:colOff>
      <xdr:row>69</xdr:row>
      <xdr:rowOff>69057</xdr:rowOff>
    </xdr:from>
    <xdr:to>
      <xdr:col>14</xdr:col>
      <xdr:colOff>235744</xdr:colOff>
      <xdr:row>70</xdr:row>
      <xdr:rowOff>185727</xdr:rowOff>
    </xdr:to>
    <xdr:sp macro="" textlink="">
      <xdr:nvSpPr>
        <xdr:cNvPr id="96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10247549" y="9403557"/>
          <a:ext cx="346633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22</xdr:col>
      <xdr:colOff>155801</xdr:colOff>
      <xdr:row>69</xdr:row>
      <xdr:rowOff>142874</xdr:rowOff>
    </xdr:from>
    <xdr:to>
      <xdr:col>26</xdr:col>
      <xdr:colOff>452438</xdr:colOff>
      <xdr:row>70</xdr:row>
      <xdr:rowOff>104495</xdr:rowOff>
    </xdr:to>
    <xdr:sp macro="" textlink="">
      <xdr:nvSpPr>
        <xdr:cNvPr id="97" name="Flecha derecha 96"/>
        <xdr:cNvSpPr/>
      </xdr:nvSpPr>
      <xdr:spPr>
        <a:xfrm>
          <a:off x="15371989" y="9477374"/>
          <a:ext cx="2761230" cy="152121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78285</xdr:colOff>
      <xdr:row>67</xdr:row>
      <xdr:rowOff>34418</xdr:rowOff>
    </xdr:from>
    <xdr:to>
      <xdr:col>18</xdr:col>
      <xdr:colOff>5276</xdr:colOff>
      <xdr:row>69</xdr:row>
      <xdr:rowOff>71438</xdr:rowOff>
    </xdr:to>
    <xdr:cxnSp macro="">
      <xdr:nvCxnSpPr>
        <xdr:cNvPr id="98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stCxn id="88" idx="0"/>
          <a:endCxn id="90" idx="4"/>
        </xdr:cNvCxnSpPr>
      </xdr:nvCxnSpPr>
      <xdr:spPr>
        <a:xfrm rot="16200000" flipV="1">
          <a:off x="12316474" y="8929823"/>
          <a:ext cx="418020" cy="534210"/>
        </a:xfrm>
        <a:prstGeom prst="bentConnector3">
          <a:avLst>
            <a:gd name="adj1" fmla="val 50000"/>
          </a:avLst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211310</xdr:colOff>
      <xdr:row>66</xdr:row>
      <xdr:rowOff>8405</xdr:rowOff>
    </xdr:from>
    <xdr:to>
      <xdr:col>20</xdr:col>
      <xdr:colOff>595312</xdr:colOff>
      <xdr:row>66</xdr:row>
      <xdr:rowOff>8610</xdr:rowOff>
    </xdr:to>
    <xdr:cxnSp macro="">
      <xdr:nvCxnSpPr>
        <xdr:cNvPr id="99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stCxn id="90" idx="6"/>
          <a:endCxn id="101" idx="2"/>
        </xdr:cNvCxnSpPr>
      </xdr:nvCxnSpPr>
      <xdr:spPr>
        <a:xfrm>
          <a:off x="12391404" y="12581405"/>
          <a:ext cx="2205658" cy="205"/>
        </a:xfrm>
        <a:prstGeom prst="bentConnector3">
          <a:avLst>
            <a:gd name="adj1" fmla="val 50000"/>
          </a:avLst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420498</xdr:colOff>
      <xdr:row>69</xdr:row>
      <xdr:rowOff>28837</xdr:rowOff>
    </xdr:from>
    <xdr:to>
      <xdr:col>27</xdr:col>
      <xdr:colOff>76360</xdr:colOff>
      <xdr:row>70</xdr:row>
      <xdr:rowOff>151199</xdr:rowOff>
    </xdr:to>
    <xdr:sp macro="" textlink="">
      <xdr:nvSpPr>
        <xdr:cNvPr id="100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8101279" y="9363337"/>
          <a:ext cx="263081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5</a:t>
          </a:r>
          <a:endParaRPr lang="es-ES" sz="1600" b="1"/>
        </a:p>
      </xdr:txBody>
    </xdr:sp>
    <xdr:clientData/>
  </xdr:twoCellAnchor>
  <xdr:twoCellAnchor>
    <xdr:from>
      <xdr:col>20</xdr:col>
      <xdr:colOff>595312</xdr:colOff>
      <xdr:row>65</xdr:row>
      <xdr:rowOff>166686</xdr:rowOff>
    </xdr:from>
    <xdr:to>
      <xdr:col>27</xdr:col>
      <xdr:colOff>47625</xdr:colOff>
      <xdr:row>68</xdr:row>
      <xdr:rowOff>166685</xdr:rowOff>
    </xdr:to>
    <xdr:sp macro="" textlink="">
      <xdr:nvSpPr>
        <xdr:cNvPr id="101" name="Flecha doblada hacia arriba 100"/>
        <xdr:cNvSpPr/>
      </xdr:nvSpPr>
      <xdr:spPr>
        <a:xfrm flipV="1">
          <a:off x="14597062" y="12549186"/>
          <a:ext cx="3738563" cy="571499"/>
        </a:xfrm>
        <a:prstGeom prst="bentUpArrow">
          <a:avLst>
            <a:gd name="adj1" fmla="val 11347"/>
            <a:gd name="adj2" fmla="val 17600"/>
            <a:gd name="adj3" fmla="val 21829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292552</xdr:colOff>
      <xdr:row>36</xdr:row>
      <xdr:rowOff>136071</xdr:rowOff>
    </xdr:from>
    <xdr:to>
      <xdr:col>13</xdr:col>
      <xdr:colOff>530678</xdr:colOff>
      <xdr:row>71</xdr:row>
      <xdr:rowOff>142875</xdr:rowOff>
    </xdr:to>
    <xdr:graphicFrame macro="">
      <xdr:nvGraphicFramePr>
        <xdr:cNvPr id="105" name="403 Gráfico">
          <a:extLst>
            <a:ext uri="{FF2B5EF4-FFF2-40B4-BE49-F238E27FC236}">
              <a16:creationId xmlns="" xmlns:a16="http://schemas.microsoft.com/office/drawing/2014/main" id="{00000000-0008-0000-0000-0000940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79</xdr:row>
      <xdr:rowOff>0</xdr:rowOff>
    </xdr:from>
    <xdr:to>
      <xdr:col>20</xdr:col>
      <xdr:colOff>368408</xdr:colOff>
      <xdr:row>96</xdr:row>
      <xdr:rowOff>182358</xdr:rowOff>
    </xdr:to>
    <xdr:pic>
      <xdr:nvPicPr>
        <xdr:cNvPr id="108" name="Imagen 10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9643" y="15049500"/>
          <a:ext cx="5879301" cy="342085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</xdr:row>
      <xdr:rowOff>0</xdr:rowOff>
    </xdr:from>
    <xdr:to>
      <xdr:col>30</xdr:col>
      <xdr:colOff>449036</xdr:colOff>
      <xdr:row>96</xdr:row>
      <xdr:rowOff>24776</xdr:rowOff>
    </xdr:to>
    <xdr:pic>
      <xdr:nvPicPr>
        <xdr:cNvPr id="110" name="Imagen 10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5179" y="15049500"/>
          <a:ext cx="5646964" cy="3263276"/>
        </a:xfrm>
        <a:prstGeom prst="rect">
          <a:avLst/>
        </a:prstGeom>
      </xdr:spPr>
    </xdr:pic>
    <xdr:clientData/>
  </xdr:twoCellAnchor>
  <xdr:twoCellAnchor>
    <xdr:from>
      <xdr:col>14</xdr:col>
      <xdr:colOff>113995</xdr:colOff>
      <xdr:row>23</xdr:row>
      <xdr:rowOff>37836</xdr:rowOff>
    </xdr:from>
    <xdr:to>
      <xdr:col>15</xdr:col>
      <xdr:colOff>2077</xdr:colOff>
      <xdr:row>25</xdr:row>
      <xdr:rowOff>171505</xdr:rowOff>
    </xdr:to>
    <xdr:sp macro="" textlink="">
      <xdr:nvSpPr>
        <xdr:cNvPr id="59" name="6 Elipse"/>
        <xdr:cNvSpPr/>
      </xdr:nvSpPr>
      <xdr:spPr>
        <a:xfrm>
          <a:off x="12700602" y="4419336"/>
          <a:ext cx="500404" cy="514669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/>
        <a:lstStyle/>
        <a:p>
          <a:pPr>
            <a:spcAft>
              <a:spcPts val="0"/>
            </a:spcAft>
          </a:pPr>
          <a:r>
            <a:rPr lang="es-ES" sz="1800" b="1">
              <a:solidFill>
                <a:srgbClr val="000000"/>
              </a:solidFill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6</a:t>
          </a:r>
          <a:endParaRPr lang="es-AR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352660</xdr:colOff>
      <xdr:row>14</xdr:row>
      <xdr:rowOff>74735</xdr:rowOff>
    </xdr:from>
    <xdr:to>
      <xdr:col>14</xdr:col>
      <xdr:colOff>465059</xdr:colOff>
      <xdr:row>18</xdr:row>
      <xdr:rowOff>115248</xdr:rowOff>
    </xdr:to>
    <xdr:cxnSp macro="">
      <xdr:nvCxnSpPr>
        <xdr:cNvPr id="66" name="30 Conector recto de flecha"/>
        <xdr:cNvCxnSpPr>
          <a:stCxn id="15" idx="7"/>
          <a:endCxn id="57" idx="2"/>
        </xdr:cNvCxnSpPr>
      </xdr:nvCxnSpPr>
      <xdr:spPr>
        <a:xfrm flipV="1">
          <a:off x="11714624" y="2741735"/>
          <a:ext cx="1337042" cy="802513"/>
        </a:xfrm>
        <a:prstGeom prst="straightConnector1">
          <a:avLst/>
        </a:prstGeom>
        <a:ln>
          <a:prstDash val="dash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557210</xdr:colOff>
      <xdr:row>49</xdr:row>
      <xdr:rowOff>54428</xdr:rowOff>
    </xdr:from>
    <xdr:to>
      <xdr:col>22</xdr:col>
      <xdr:colOff>517070</xdr:colOff>
      <xdr:row>55</xdr:row>
      <xdr:rowOff>108856</xdr:rowOff>
    </xdr:to>
    <xdr:sp macro="" textlink="">
      <xdr:nvSpPr>
        <xdr:cNvPr id="94" name="Flecha doblada 93"/>
        <xdr:cNvSpPr/>
      </xdr:nvSpPr>
      <xdr:spPr>
        <a:xfrm flipV="1">
          <a:off x="12531496" y="9388928"/>
          <a:ext cx="5470753" cy="1197428"/>
        </a:xfrm>
        <a:prstGeom prst="bentArrow">
          <a:avLst>
            <a:gd name="adj1" fmla="val 9006"/>
            <a:gd name="adj2" fmla="val 22620"/>
            <a:gd name="adj3" fmla="val 29000"/>
            <a:gd name="adj4" fmla="val 22128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501940</xdr:colOff>
      <xdr:row>52</xdr:row>
      <xdr:rowOff>182717</xdr:rowOff>
    </xdr:from>
    <xdr:to>
      <xdr:col>23</xdr:col>
      <xdr:colOff>166307</xdr:colOff>
      <xdr:row>54</xdr:row>
      <xdr:rowOff>114579</xdr:rowOff>
    </xdr:to>
    <xdr:sp macro="" textlink="">
      <xdr:nvSpPr>
        <xdr:cNvPr id="102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7987119" y="10088717"/>
          <a:ext cx="303902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4</a:t>
          </a:r>
        </a:p>
      </xdr:txBody>
    </xdr:sp>
    <xdr:clientData/>
  </xdr:twoCellAnchor>
  <xdr:twoCellAnchor>
    <xdr:from>
      <xdr:col>31</xdr:col>
      <xdr:colOff>557892</xdr:colOff>
      <xdr:row>49</xdr:row>
      <xdr:rowOff>68036</xdr:rowOff>
    </xdr:from>
    <xdr:to>
      <xdr:col>31</xdr:col>
      <xdr:colOff>217713</xdr:colOff>
      <xdr:row>50</xdr:row>
      <xdr:rowOff>189139</xdr:rowOff>
    </xdr:to>
    <xdr:sp macro="" textlink="">
      <xdr:nvSpPr>
        <xdr:cNvPr id="103" name="220 Elipse">
          <a:extLst>
            <a:ext uri="{FF2B5EF4-FFF2-40B4-BE49-F238E27FC236}">
              <a16:creationId xmlns="" xmlns:a16="http://schemas.microsoft.com/office/drawing/2014/main" id="{00000000-0008-0000-0000-0000DD000000}"/>
            </a:ext>
          </a:extLst>
        </xdr:cNvPr>
        <xdr:cNvSpPr/>
      </xdr:nvSpPr>
      <xdr:spPr>
        <a:xfrm>
          <a:off x="13144499" y="9402536"/>
          <a:ext cx="0" cy="311603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35</xdr:col>
      <xdr:colOff>466392</xdr:colOff>
      <xdr:row>49</xdr:row>
      <xdr:rowOff>44224</xdr:rowOff>
    </xdr:from>
    <xdr:to>
      <xdr:col>36</xdr:col>
      <xdr:colOff>205807</xdr:colOff>
      <xdr:row>50</xdr:row>
      <xdr:rowOff>160894</xdr:rowOff>
    </xdr:to>
    <xdr:sp macro="" textlink="">
      <xdr:nvSpPr>
        <xdr:cNvPr id="104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15502285" y="9378724"/>
          <a:ext cx="351736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2</a:t>
          </a:r>
          <a:endParaRPr lang="es-ES" sz="1600" b="1"/>
        </a:p>
      </xdr:txBody>
    </xdr:sp>
    <xdr:clientData/>
  </xdr:twoCellAnchor>
  <xdr:twoCellAnchor>
    <xdr:from>
      <xdr:col>39</xdr:col>
      <xdr:colOff>553647</xdr:colOff>
      <xdr:row>49</xdr:row>
      <xdr:rowOff>57532</xdr:rowOff>
    </xdr:from>
    <xdr:to>
      <xdr:col>40</xdr:col>
      <xdr:colOff>218014</xdr:colOff>
      <xdr:row>50</xdr:row>
      <xdr:rowOff>179894</xdr:rowOff>
    </xdr:to>
    <xdr:sp macro="" textlink="">
      <xdr:nvSpPr>
        <xdr:cNvPr id="106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8038826" y="9392032"/>
          <a:ext cx="303902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5</a:t>
          </a:r>
        </a:p>
      </xdr:txBody>
    </xdr:sp>
    <xdr:clientData/>
  </xdr:twoCellAnchor>
  <xdr:twoCellAnchor>
    <xdr:from>
      <xdr:col>34</xdr:col>
      <xdr:colOff>593301</xdr:colOff>
      <xdr:row>45</xdr:row>
      <xdr:rowOff>64033</xdr:rowOff>
    </xdr:from>
    <xdr:to>
      <xdr:col>35</xdr:col>
      <xdr:colOff>252131</xdr:colOff>
      <xdr:row>47</xdr:row>
      <xdr:rowOff>116060</xdr:rowOff>
    </xdr:to>
    <xdr:sp macro="" textlink="">
      <xdr:nvSpPr>
        <xdr:cNvPr id="107" name="259 Elipse">
          <a:extLst>
            <a:ext uri="{FF2B5EF4-FFF2-40B4-BE49-F238E27FC236}">
              <a16:creationId xmlns="" xmlns:a16="http://schemas.microsoft.com/office/drawing/2014/main" id="{00000000-0008-0000-0000-000004010000}"/>
            </a:ext>
          </a:extLst>
        </xdr:cNvPr>
        <xdr:cNvSpPr/>
      </xdr:nvSpPr>
      <xdr:spPr>
        <a:xfrm>
          <a:off x="15016872" y="8636533"/>
          <a:ext cx="271152" cy="433027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3</a:t>
          </a:r>
          <a:endParaRPr lang="es-ES" sz="1600" b="1"/>
        </a:p>
      </xdr:txBody>
    </xdr:sp>
    <xdr:clientData/>
  </xdr:twoCellAnchor>
  <xdr:twoCellAnchor>
    <xdr:from>
      <xdr:col>31</xdr:col>
      <xdr:colOff>220756</xdr:colOff>
      <xdr:row>50</xdr:row>
      <xdr:rowOff>0</xdr:rowOff>
    </xdr:from>
    <xdr:to>
      <xdr:col>35</xdr:col>
      <xdr:colOff>449036</xdr:colOff>
      <xdr:row>50</xdr:row>
      <xdr:rowOff>119344</xdr:rowOff>
    </xdr:to>
    <xdr:sp macro="" textlink="">
      <xdr:nvSpPr>
        <xdr:cNvPr id="109" name="Flecha derecha 108"/>
        <xdr:cNvSpPr/>
      </xdr:nvSpPr>
      <xdr:spPr>
        <a:xfrm>
          <a:off x="12807363" y="9525000"/>
          <a:ext cx="2677566" cy="119344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36</xdr:col>
      <xdr:colOff>200705</xdr:colOff>
      <xdr:row>49</xdr:row>
      <xdr:rowOff>145677</xdr:rowOff>
    </xdr:from>
    <xdr:to>
      <xdr:col>39</xdr:col>
      <xdr:colOff>610521</xdr:colOff>
      <xdr:row>50</xdr:row>
      <xdr:rowOff>118783</xdr:rowOff>
    </xdr:to>
    <xdr:sp macro="" textlink="">
      <xdr:nvSpPr>
        <xdr:cNvPr id="111" name="Flecha derecha 110"/>
        <xdr:cNvSpPr/>
      </xdr:nvSpPr>
      <xdr:spPr>
        <a:xfrm>
          <a:off x="15848919" y="9480177"/>
          <a:ext cx="2246781" cy="163606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31</xdr:col>
      <xdr:colOff>10205</xdr:colOff>
      <xdr:row>45</xdr:row>
      <xdr:rowOff>68035</xdr:rowOff>
    </xdr:from>
    <xdr:to>
      <xdr:col>34</xdr:col>
      <xdr:colOff>598715</xdr:colOff>
      <xdr:row>49</xdr:row>
      <xdr:rowOff>63932</xdr:rowOff>
    </xdr:to>
    <xdr:sp macro="" textlink="">
      <xdr:nvSpPr>
        <xdr:cNvPr id="112" name="Flecha doblada 111"/>
        <xdr:cNvSpPr/>
      </xdr:nvSpPr>
      <xdr:spPr>
        <a:xfrm>
          <a:off x="12596812" y="8640535"/>
          <a:ext cx="2425474" cy="757897"/>
        </a:xfrm>
        <a:prstGeom prst="bentArrow">
          <a:avLst>
            <a:gd name="adj1" fmla="val 9006"/>
            <a:gd name="adj2" fmla="val 22620"/>
            <a:gd name="adj3" fmla="val 29000"/>
            <a:gd name="adj4" fmla="val 22128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488533</xdr:colOff>
      <xdr:row>49</xdr:row>
      <xdr:rowOff>42443</xdr:rowOff>
    </xdr:from>
    <xdr:to>
      <xdr:col>46</xdr:col>
      <xdr:colOff>144395</xdr:colOff>
      <xdr:row>50</xdr:row>
      <xdr:rowOff>164805</xdr:rowOff>
    </xdr:to>
    <xdr:sp macro="" textlink="">
      <xdr:nvSpPr>
        <xdr:cNvPr id="113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21715676" y="9376943"/>
          <a:ext cx="268183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6</a:t>
          </a:r>
        </a:p>
      </xdr:txBody>
    </xdr:sp>
    <xdr:clientData/>
  </xdr:twoCellAnchor>
  <xdr:twoCellAnchor>
    <xdr:from>
      <xdr:col>30</xdr:col>
      <xdr:colOff>496330</xdr:colOff>
      <xdr:row>49</xdr:row>
      <xdr:rowOff>69057</xdr:rowOff>
    </xdr:from>
    <xdr:to>
      <xdr:col>31</xdr:col>
      <xdr:colOff>235744</xdr:colOff>
      <xdr:row>50</xdr:row>
      <xdr:rowOff>185727</xdr:rowOff>
    </xdr:to>
    <xdr:sp macro="" textlink="">
      <xdr:nvSpPr>
        <xdr:cNvPr id="114" name="225 Elipse">
          <a:extLst>
            <a:ext uri="{FF2B5EF4-FFF2-40B4-BE49-F238E27FC236}">
              <a16:creationId xmlns="" xmlns:a16="http://schemas.microsoft.com/office/drawing/2014/main" id="{00000000-0008-0000-0000-0000E2000000}"/>
            </a:ext>
          </a:extLst>
        </xdr:cNvPr>
        <xdr:cNvSpPr/>
      </xdr:nvSpPr>
      <xdr:spPr>
        <a:xfrm>
          <a:off x="12470616" y="9403557"/>
          <a:ext cx="351735" cy="307170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1</a:t>
          </a:r>
          <a:endParaRPr lang="es-ES" sz="1600" b="1"/>
        </a:p>
      </xdr:txBody>
    </xdr:sp>
    <xdr:clientData/>
  </xdr:twoCellAnchor>
  <xdr:twoCellAnchor>
    <xdr:from>
      <xdr:col>40</xdr:col>
      <xdr:colOff>210230</xdr:colOff>
      <xdr:row>49</xdr:row>
      <xdr:rowOff>163286</xdr:rowOff>
    </xdr:from>
    <xdr:to>
      <xdr:col>45</xdr:col>
      <xdr:colOff>585107</xdr:colOff>
      <xdr:row>50</xdr:row>
      <xdr:rowOff>104494</xdr:rowOff>
    </xdr:to>
    <xdr:sp macro="" textlink="">
      <xdr:nvSpPr>
        <xdr:cNvPr id="115" name="Flecha derecha 114"/>
        <xdr:cNvSpPr/>
      </xdr:nvSpPr>
      <xdr:spPr>
        <a:xfrm>
          <a:off x="18334944" y="9497786"/>
          <a:ext cx="3477306" cy="131708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35</xdr:col>
      <xdr:colOff>252131</xdr:colOff>
      <xdr:row>46</xdr:row>
      <xdr:rowOff>90047</xdr:rowOff>
    </xdr:from>
    <xdr:to>
      <xdr:col>40</xdr:col>
      <xdr:colOff>66063</xdr:colOff>
      <xdr:row>49</xdr:row>
      <xdr:rowOff>57532</xdr:rowOff>
    </xdr:to>
    <xdr:cxnSp macro="">
      <xdr:nvCxnSpPr>
        <xdr:cNvPr id="116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stCxn id="107" idx="6"/>
          <a:endCxn id="106" idx="0"/>
        </xdr:cNvCxnSpPr>
      </xdr:nvCxnSpPr>
      <xdr:spPr>
        <a:xfrm>
          <a:off x="15288024" y="8853047"/>
          <a:ext cx="2902753" cy="538985"/>
        </a:xfrm>
        <a:prstGeom prst="bentConnector2">
          <a:avLst/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27215</xdr:colOff>
      <xdr:row>50</xdr:row>
      <xdr:rowOff>179894</xdr:rowOff>
    </xdr:from>
    <xdr:to>
      <xdr:col>40</xdr:col>
      <xdr:colOff>66063</xdr:colOff>
      <xdr:row>52</xdr:row>
      <xdr:rowOff>176894</xdr:rowOff>
    </xdr:to>
    <xdr:cxnSp macro="">
      <xdr:nvCxnSpPr>
        <xdr:cNvPr id="117" name="267 Conector angular">
          <a:extLst>
            <a:ext uri="{FF2B5EF4-FFF2-40B4-BE49-F238E27FC236}">
              <a16:creationId xmlns="" xmlns:a16="http://schemas.microsoft.com/office/drawing/2014/main" id="{00000000-0008-0000-0000-00000C010000}"/>
            </a:ext>
          </a:extLst>
        </xdr:cNvPr>
        <xdr:cNvCxnSpPr>
          <a:endCxn id="106" idx="4"/>
        </xdr:cNvCxnSpPr>
      </xdr:nvCxnSpPr>
      <xdr:spPr>
        <a:xfrm rot="5400000" flipH="1" flipV="1">
          <a:off x="17982353" y="9874470"/>
          <a:ext cx="378000" cy="38848"/>
        </a:xfrm>
        <a:prstGeom prst="bentConnector3">
          <a:avLst>
            <a:gd name="adj1" fmla="val 50000"/>
          </a:avLst>
        </a:prstGeom>
        <a:ln w="38100" cmpd="sng">
          <a:solidFill>
            <a:schemeClr val="dk1"/>
          </a:solidFill>
          <a:prstDash val="sysDot"/>
          <a:headEnd type="none" w="lg" len="lg"/>
          <a:tailEnd type="triangle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557210</xdr:colOff>
      <xdr:row>49</xdr:row>
      <xdr:rowOff>54428</xdr:rowOff>
    </xdr:from>
    <xdr:to>
      <xdr:col>39</xdr:col>
      <xdr:colOff>517070</xdr:colOff>
      <xdr:row>55</xdr:row>
      <xdr:rowOff>108856</xdr:rowOff>
    </xdr:to>
    <xdr:sp macro="" textlink="">
      <xdr:nvSpPr>
        <xdr:cNvPr id="118" name="Flecha doblada 117"/>
        <xdr:cNvSpPr/>
      </xdr:nvSpPr>
      <xdr:spPr>
        <a:xfrm flipV="1">
          <a:off x="12531496" y="9388928"/>
          <a:ext cx="5470753" cy="1197428"/>
        </a:xfrm>
        <a:prstGeom prst="bentArrow">
          <a:avLst>
            <a:gd name="adj1" fmla="val 9006"/>
            <a:gd name="adj2" fmla="val 22620"/>
            <a:gd name="adj3" fmla="val 29000"/>
            <a:gd name="adj4" fmla="val 22128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39</xdr:col>
      <xdr:colOff>501940</xdr:colOff>
      <xdr:row>52</xdr:row>
      <xdr:rowOff>182717</xdr:rowOff>
    </xdr:from>
    <xdr:to>
      <xdr:col>40</xdr:col>
      <xdr:colOff>166307</xdr:colOff>
      <xdr:row>54</xdr:row>
      <xdr:rowOff>114579</xdr:rowOff>
    </xdr:to>
    <xdr:sp macro="" textlink="">
      <xdr:nvSpPr>
        <xdr:cNvPr id="119" name="226 Elipse">
          <a:extLst>
            <a:ext uri="{FF2B5EF4-FFF2-40B4-BE49-F238E27FC236}">
              <a16:creationId xmlns="" xmlns:a16="http://schemas.microsoft.com/office/drawing/2014/main" id="{00000000-0008-0000-0000-0000E3000000}"/>
            </a:ext>
          </a:extLst>
        </xdr:cNvPr>
        <xdr:cNvSpPr/>
      </xdr:nvSpPr>
      <xdr:spPr>
        <a:xfrm>
          <a:off x="17987119" y="10088717"/>
          <a:ext cx="303902" cy="312862"/>
        </a:xfrm>
        <a:prstGeom prst="ellips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b="1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3"/>
  <sheetViews>
    <sheetView tabSelected="1" topLeftCell="G68" zoomScale="70" zoomScaleNormal="70" workbookViewId="0">
      <selection activeCell="K75" sqref="K75"/>
    </sheetView>
  </sheetViews>
  <sheetFormatPr baseColWidth="10" defaultColWidth="9.140625" defaultRowHeight="15" x14ac:dyDescent="0.25"/>
  <cols>
    <col min="2" max="2" width="26.140625" customWidth="1"/>
    <col min="3" max="3" width="12.5703125" customWidth="1"/>
    <col min="4" max="4" width="14.28515625" customWidth="1"/>
    <col min="5" max="5" width="17.7109375" customWidth="1"/>
    <col min="6" max="6" width="17.5703125" customWidth="1"/>
    <col min="7" max="7" width="19.85546875" customWidth="1"/>
    <col min="8" max="8" width="16.28515625" customWidth="1"/>
    <col min="9" max="9" width="9.140625" customWidth="1"/>
    <col min="23" max="23" width="9.5703125" customWidth="1"/>
    <col min="28" max="28" width="9.7109375" customWidth="1"/>
    <col min="30" max="30" width="12.7109375" customWidth="1"/>
  </cols>
  <sheetData>
    <row r="1" spans="1:27" x14ac:dyDescent="0.25">
      <c r="A1" s="1" t="s">
        <v>0</v>
      </c>
      <c r="B1" s="2"/>
      <c r="O1" s="46" t="s">
        <v>23</v>
      </c>
      <c r="P1" s="46"/>
      <c r="Q1" s="46"/>
    </row>
    <row r="2" spans="1:27" x14ac:dyDescent="0.25">
      <c r="I2" s="9" t="s">
        <v>9</v>
      </c>
      <c r="J2" s="10"/>
      <c r="K2" s="10"/>
      <c r="L2" s="10"/>
      <c r="M2" s="11"/>
      <c r="N2" s="11"/>
    </row>
    <row r="3" spans="1:27" x14ac:dyDescent="0.25">
      <c r="A3" s="4"/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I3" s="9"/>
    </row>
    <row r="4" spans="1:27" x14ac:dyDescent="0.25">
      <c r="A4" s="8" t="s">
        <v>9</v>
      </c>
      <c r="B4" s="4"/>
      <c r="C4" s="4"/>
      <c r="D4" s="4" t="s">
        <v>16</v>
      </c>
      <c r="E4" s="4"/>
      <c r="F4" s="4"/>
      <c r="I4" s="9" t="s">
        <v>10</v>
      </c>
      <c r="J4" s="11"/>
      <c r="K4" s="11"/>
      <c r="L4" s="11"/>
      <c r="M4" s="11"/>
      <c r="N4" s="13"/>
      <c r="O4" s="13"/>
    </row>
    <row r="5" spans="1:27" x14ac:dyDescent="0.25">
      <c r="A5" s="8" t="s">
        <v>10</v>
      </c>
      <c r="B5" s="4"/>
      <c r="C5" s="4"/>
      <c r="D5" s="4" t="s">
        <v>16</v>
      </c>
      <c r="E5" s="4" t="s">
        <v>16</v>
      </c>
      <c r="F5" s="4"/>
      <c r="I5" s="9"/>
    </row>
    <row r="6" spans="1:27" x14ac:dyDescent="0.25">
      <c r="A6" s="8" t="s">
        <v>11</v>
      </c>
      <c r="B6" s="4"/>
      <c r="C6" s="4"/>
      <c r="D6" s="4"/>
      <c r="E6" s="4"/>
      <c r="F6" s="4"/>
      <c r="I6" s="9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3"/>
    </row>
    <row r="7" spans="1:27" x14ac:dyDescent="0.25">
      <c r="A7" s="8" t="s">
        <v>12</v>
      </c>
      <c r="B7" s="4"/>
      <c r="C7" s="4"/>
      <c r="D7" s="4"/>
      <c r="E7" s="4"/>
      <c r="F7" s="4" t="s">
        <v>16</v>
      </c>
      <c r="I7" s="12"/>
    </row>
    <row r="8" spans="1:27" x14ac:dyDescent="0.25">
      <c r="A8" s="8" t="s">
        <v>13</v>
      </c>
      <c r="B8" s="4"/>
      <c r="C8" s="4"/>
      <c r="D8" s="4"/>
      <c r="E8" s="4"/>
      <c r="F8" s="4"/>
      <c r="I8" s="12" t="s">
        <v>12</v>
      </c>
      <c r="N8" s="13"/>
      <c r="O8" s="11"/>
      <c r="P8" s="11"/>
      <c r="Q8" s="11"/>
      <c r="R8" s="11"/>
      <c r="S8" s="13"/>
    </row>
    <row r="9" spans="1:27" x14ac:dyDescent="0.25">
      <c r="I9" s="12"/>
    </row>
    <row r="10" spans="1:27" x14ac:dyDescent="0.25">
      <c r="A10" s="3" t="s">
        <v>1</v>
      </c>
      <c r="B10" s="3" t="s">
        <v>14</v>
      </c>
      <c r="C10" s="3" t="s">
        <v>15</v>
      </c>
      <c r="I10" s="12" t="s">
        <v>13</v>
      </c>
      <c r="R10" s="13"/>
      <c r="S10" s="11"/>
      <c r="T10" s="11"/>
      <c r="U10" s="11"/>
      <c r="V10" s="11"/>
      <c r="W10" s="11"/>
      <c r="X10" s="11"/>
    </row>
    <row r="11" spans="1:27" x14ac:dyDescent="0.25">
      <c r="A11" s="4" t="s">
        <v>9</v>
      </c>
      <c r="B11" s="6" t="s">
        <v>17</v>
      </c>
      <c r="C11" s="7">
        <v>3.16</v>
      </c>
      <c r="J11" s="12">
        <v>1</v>
      </c>
      <c r="K11" s="12">
        <v>2</v>
      </c>
      <c r="L11" s="12">
        <v>3</v>
      </c>
      <c r="M11" s="12">
        <v>4</v>
      </c>
      <c r="N11" s="12">
        <v>5</v>
      </c>
      <c r="O11" s="12">
        <v>6</v>
      </c>
      <c r="P11" s="12">
        <v>7</v>
      </c>
      <c r="Q11" s="12">
        <v>8</v>
      </c>
      <c r="R11" s="12">
        <v>9</v>
      </c>
      <c r="S11" s="12">
        <v>10</v>
      </c>
      <c r="T11" s="12">
        <v>11</v>
      </c>
      <c r="U11" s="12">
        <v>12</v>
      </c>
      <c r="V11" s="12">
        <v>13</v>
      </c>
      <c r="W11" s="42">
        <v>14</v>
      </c>
      <c r="X11" s="42">
        <v>15</v>
      </c>
    </row>
    <row r="12" spans="1:27" x14ac:dyDescent="0.25">
      <c r="A12" s="4" t="s">
        <v>10</v>
      </c>
      <c r="B12" s="6" t="s">
        <v>17</v>
      </c>
      <c r="C12" s="7">
        <v>4.33</v>
      </c>
    </row>
    <row r="13" spans="1:27" x14ac:dyDescent="0.25">
      <c r="A13" s="4" t="s">
        <v>11</v>
      </c>
      <c r="B13" s="6" t="s">
        <v>18</v>
      </c>
      <c r="C13" s="7">
        <v>6.16</v>
      </c>
    </row>
    <row r="14" spans="1:27" x14ac:dyDescent="0.25">
      <c r="A14" s="4" t="s">
        <v>12</v>
      </c>
      <c r="B14" s="6" t="s">
        <v>19</v>
      </c>
      <c r="C14" s="7">
        <v>3.83</v>
      </c>
      <c r="O14" t="s">
        <v>78</v>
      </c>
    </row>
    <row r="15" spans="1:27" x14ac:dyDescent="0.25">
      <c r="A15" s="4" t="s">
        <v>13</v>
      </c>
      <c r="B15" s="6" t="s">
        <v>20</v>
      </c>
      <c r="C15" s="7">
        <v>5.16</v>
      </c>
      <c r="K15" t="s">
        <v>75</v>
      </c>
    </row>
    <row r="16" spans="1:27" x14ac:dyDescent="0.25">
      <c r="W16" s="17" t="s">
        <v>31</v>
      </c>
      <c r="Y16" s="15">
        <v>7.16</v>
      </c>
      <c r="AA16" t="s">
        <v>24</v>
      </c>
    </row>
    <row r="17" spans="1:30" x14ac:dyDescent="0.25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  <c r="V17" s="17">
        <v>3.16</v>
      </c>
      <c r="W17" s="16">
        <v>3</v>
      </c>
      <c r="AC17" s="17">
        <v>10.49</v>
      </c>
    </row>
    <row r="18" spans="1:30" x14ac:dyDescent="0.25">
      <c r="A18" s="4" t="s">
        <v>9</v>
      </c>
      <c r="B18" s="5">
        <v>4</v>
      </c>
      <c r="C18" s="5">
        <v>5</v>
      </c>
      <c r="D18" s="5">
        <v>7</v>
      </c>
      <c r="E18" s="5">
        <f>(B18+4*C18+D18)/6</f>
        <v>5.166666666666667</v>
      </c>
      <c r="F18" s="5">
        <f>(D18-B18)/6</f>
        <v>0.5</v>
      </c>
      <c r="G18" s="5">
        <f>F18^2</f>
        <v>0.25</v>
      </c>
      <c r="H18" s="5">
        <v>2</v>
      </c>
      <c r="U18" t="s">
        <v>21</v>
      </c>
      <c r="AD18" s="17" t="s">
        <v>30</v>
      </c>
    </row>
    <row r="19" spans="1:30" x14ac:dyDescent="0.25">
      <c r="A19" s="4" t="s">
        <v>10</v>
      </c>
      <c r="B19" s="5">
        <v>2</v>
      </c>
      <c r="C19" s="5">
        <v>4</v>
      </c>
      <c r="D19" s="5">
        <v>6</v>
      </c>
      <c r="E19" s="5">
        <f>(B19+4*C19+D19)/6</f>
        <v>4</v>
      </c>
      <c r="F19" s="5">
        <f>(D19-B19)/6</f>
        <v>0.66666666666666663</v>
      </c>
      <c r="G19" s="5">
        <f>F19^2</f>
        <v>0.44444444444444442</v>
      </c>
      <c r="H19" s="5">
        <v>3</v>
      </c>
      <c r="Q19" s="14"/>
      <c r="W19" s="17">
        <v>4.33</v>
      </c>
      <c r="AD19" s="16">
        <v>5</v>
      </c>
    </row>
    <row r="20" spans="1:30" x14ac:dyDescent="0.25">
      <c r="A20" s="4" t="s">
        <v>11</v>
      </c>
      <c r="B20" s="5">
        <v>7</v>
      </c>
      <c r="C20" s="5">
        <v>9</v>
      </c>
      <c r="D20" s="5">
        <v>10</v>
      </c>
      <c r="E20" s="5">
        <f>(B20+4*C20+D20)/6</f>
        <v>8.8333333333333339</v>
      </c>
      <c r="F20" s="5">
        <f>(D20-B20)/6</f>
        <v>0.5</v>
      </c>
      <c r="G20" s="5">
        <f>F20^2</f>
        <v>0.25</v>
      </c>
      <c r="H20" s="5">
        <v>3</v>
      </c>
      <c r="K20" t="s">
        <v>76</v>
      </c>
      <c r="U20" s="20">
        <v>4</v>
      </c>
      <c r="AC20" s="17">
        <v>13.32</v>
      </c>
    </row>
    <row r="21" spans="1:30" x14ac:dyDescent="0.25">
      <c r="A21" s="4" t="s">
        <v>12</v>
      </c>
      <c r="B21" s="5">
        <v>3</v>
      </c>
      <c r="C21" s="5">
        <v>4</v>
      </c>
      <c r="D21" s="5">
        <v>5</v>
      </c>
      <c r="E21" s="5">
        <f>(B21+4*C21+D21)/6</f>
        <v>4</v>
      </c>
      <c r="F21" s="5">
        <f>(D21-B21)/6</f>
        <v>0.33333333333333331</v>
      </c>
      <c r="G21" s="5">
        <f>F21^2</f>
        <v>0.1111111111111111</v>
      </c>
      <c r="H21" s="5">
        <v>4</v>
      </c>
      <c r="J21" t="s">
        <v>77</v>
      </c>
      <c r="P21" t="s">
        <v>79</v>
      </c>
      <c r="T21" s="16" t="s">
        <v>29</v>
      </c>
    </row>
    <row r="22" spans="1:30" x14ac:dyDescent="0.25">
      <c r="A22" s="4" t="s">
        <v>13</v>
      </c>
      <c r="B22" s="5">
        <v>4</v>
      </c>
      <c r="C22" s="5">
        <v>6</v>
      </c>
      <c r="D22" s="5">
        <v>9</v>
      </c>
      <c r="E22" s="5">
        <f>(B22+4*C22+D22)/6</f>
        <v>6.166666666666667</v>
      </c>
      <c r="F22" s="5">
        <f>(D22-B22)/6</f>
        <v>0.83333333333333337</v>
      </c>
      <c r="G22" s="5">
        <f>F22^2</f>
        <v>0.69444444444444453</v>
      </c>
      <c r="H22" s="5">
        <v>5</v>
      </c>
      <c r="T22" s="16">
        <v>1</v>
      </c>
    </row>
    <row r="23" spans="1:30" x14ac:dyDescent="0.25">
      <c r="U23" s="15">
        <v>0</v>
      </c>
      <c r="W23" s="20">
        <v>7.16</v>
      </c>
      <c r="AD23" s="18" t="s">
        <v>25</v>
      </c>
    </row>
    <row r="24" spans="1:30" x14ac:dyDescent="0.25">
      <c r="K24" s="47" t="s">
        <v>27</v>
      </c>
      <c r="L24" s="47"/>
      <c r="AC24" s="15">
        <v>8.16</v>
      </c>
    </row>
    <row r="25" spans="1:30" x14ac:dyDescent="0.25">
      <c r="K25" s="47" t="s">
        <v>28</v>
      </c>
      <c r="L25" s="47"/>
      <c r="U25" t="s">
        <v>22</v>
      </c>
      <c r="V25" s="17">
        <v>4.33</v>
      </c>
      <c r="Y25" t="s">
        <v>26</v>
      </c>
    </row>
    <row r="26" spans="1:30" x14ac:dyDescent="0.25">
      <c r="W26" s="17" t="s">
        <v>32</v>
      </c>
      <c r="X26" s="19">
        <v>4.33</v>
      </c>
      <c r="Z26" s="17">
        <v>8.16</v>
      </c>
      <c r="AB26" s="17" t="s">
        <v>49</v>
      </c>
    </row>
    <row r="27" spans="1:30" x14ac:dyDescent="0.25">
      <c r="W27" s="16">
        <v>2</v>
      </c>
      <c r="AB27" s="16">
        <v>4</v>
      </c>
    </row>
    <row r="30" spans="1:30" x14ac:dyDescent="0.25">
      <c r="R30" s="21"/>
      <c r="S30" s="21"/>
      <c r="T30" s="44" t="s">
        <v>33</v>
      </c>
      <c r="U30" s="44"/>
      <c r="V30" s="44" t="s">
        <v>34</v>
      </c>
      <c r="W30" s="44"/>
      <c r="X30" s="21"/>
      <c r="Y30" s="21"/>
      <c r="Z30" s="21"/>
      <c r="AA30" s="21"/>
    </row>
    <row r="31" spans="1:30" x14ac:dyDescent="0.25">
      <c r="R31" s="21"/>
      <c r="S31" s="22"/>
      <c r="T31" s="22" t="s">
        <v>35</v>
      </c>
      <c r="U31" s="22" t="s">
        <v>36</v>
      </c>
      <c r="V31" s="22" t="s">
        <v>35</v>
      </c>
      <c r="W31" s="22" t="s">
        <v>36</v>
      </c>
      <c r="X31" s="22" t="s">
        <v>37</v>
      </c>
      <c r="Y31" s="22" t="s">
        <v>38</v>
      </c>
      <c r="Z31" s="22" t="s">
        <v>38</v>
      </c>
      <c r="AA31" s="22" t="s">
        <v>8</v>
      </c>
    </row>
    <row r="32" spans="1:30" x14ac:dyDescent="0.25">
      <c r="R32" s="22" t="s">
        <v>1</v>
      </c>
      <c r="S32" s="22" t="s">
        <v>39</v>
      </c>
      <c r="T32" s="22" t="s">
        <v>40</v>
      </c>
      <c r="U32" s="22" t="s">
        <v>41</v>
      </c>
      <c r="V32" s="22" t="s">
        <v>42</v>
      </c>
      <c r="W32" s="22" t="s">
        <v>43</v>
      </c>
      <c r="X32" s="22" t="s">
        <v>44</v>
      </c>
      <c r="Y32" s="22" t="s">
        <v>45</v>
      </c>
      <c r="Z32" s="22" t="s">
        <v>46</v>
      </c>
      <c r="AA32" s="22" t="s">
        <v>47</v>
      </c>
    </row>
    <row r="33" spans="15:47" x14ac:dyDescent="0.25">
      <c r="R33" s="23" t="s">
        <v>9</v>
      </c>
      <c r="S33" s="24">
        <v>5</v>
      </c>
      <c r="T33" s="25">
        <v>0</v>
      </c>
      <c r="U33" s="25">
        <v>0</v>
      </c>
      <c r="V33" s="25">
        <v>5</v>
      </c>
      <c r="W33" s="25">
        <v>5</v>
      </c>
      <c r="X33" s="23"/>
      <c r="Y33" s="25">
        <f t="shared" ref="Y33:Y37" si="0">W33-V33</f>
        <v>0</v>
      </c>
      <c r="Z33" s="25">
        <f>4.33-3.16</f>
        <v>1.17</v>
      </c>
      <c r="AA33" s="24">
        <v>2</v>
      </c>
    </row>
    <row r="34" spans="15:47" x14ac:dyDescent="0.25">
      <c r="R34" s="23" t="s">
        <v>10</v>
      </c>
      <c r="S34" s="24">
        <v>4</v>
      </c>
      <c r="T34" s="25">
        <v>0</v>
      </c>
      <c r="U34" s="25">
        <v>9</v>
      </c>
      <c r="V34" s="25">
        <v>4</v>
      </c>
      <c r="W34" s="25">
        <v>9</v>
      </c>
      <c r="X34" s="23" t="s">
        <v>48</v>
      </c>
      <c r="Y34" s="25">
        <f t="shared" si="0"/>
        <v>5</v>
      </c>
      <c r="Z34" s="25">
        <f>4.33-4.33</f>
        <v>0</v>
      </c>
      <c r="AA34" s="24">
        <v>3</v>
      </c>
    </row>
    <row r="35" spans="15:47" x14ac:dyDescent="0.25">
      <c r="R35" s="23" t="s">
        <v>11</v>
      </c>
      <c r="S35" s="24">
        <v>9</v>
      </c>
      <c r="T35" s="25">
        <v>0</v>
      </c>
      <c r="U35" s="25">
        <v>0</v>
      </c>
      <c r="V35" s="25">
        <v>9</v>
      </c>
      <c r="W35" s="25">
        <v>9</v>
      </c>
      <c r="X35" s="23"/>
      <c r="Y35" s="25">
        <f t="shared" si="0"/>
        <v>0</v>
      </c>
      <c r="Z35" s="25">
        <f>13.32-10.49</f>
        <v>2.83</v>
      </c>
      <c r="AA35" s="24">
        <v>3</v>
      </c>
    </row>
    <row r="36" spans="15:47" x14ac:dyDescent="0.25">
      <c r="R36" s="23" t="s">
        <v>12</v>
      </c>
      <c r="S36" s="24">
        <v>4</v>
      </c>
      <c r="T36" s="25">
        <v>5</v>
      </c>
      <c r="U36" s="25">
        <v>9</v>
      </c>
      <c r="V36" s="25">
        <v>9</v>
      </c>
      <c r="W36" s="25">
        <v>9</v>
      </c>
      <c r="X36" s="23" t="s">
        <v>48</v>
      </c>
      <c r="Y36" s="25">
        <f t="shared" si="0"/>
        <v>0</v>
      </c>
      <c r="Z36" s="25">
        <f>8.16-8.16</f>
        <v>0</v>
      </c>
      <c r="AA36" s="24">
        <v>4</v>
      </c>
    </row>
    <row r="37" spans="15:47" x14ac:dyDescent="0.25">
      <c r="R37" s="23" t="s">
        <v>13</v>
      </c>
      <c r="S37" s="24">
        <v>6</v>
      </c>
      <c r="T37" s="25">
        <v>9</v>
      </c>
      <c r="U37" s="25">
        <v>9</v>
      </c>
      <c r="V37" s="25">
        <v>15</v>
      </c>
      <c r="W37" s="25">
        <v>15</v>
      </c>
      <c r="X37" s="23" t="s">
        <v>48</v>
      </c>
      <c r="Y37" s="25">
        <f t="shared" si="0"/>
        <v>0</v>
      </c>
      <c r="Z37" s="25">
        <f>13.32-13.32</f>
        <v>0</v>
      </c>
      <c r="AA37" s="24">
        <v>5</v>
      </c>
    </row>
    <row r="39" spans="15:47" x14ac:dyDescent="0.25">
      <c r="O39" s="29" t="s">
        <v>50</v>
      </c>
      <c r="P39" s="29"/>
      <c r="X39" s="13"/>
      <c r="AF39" s="29" t="s">
        <v>58</v>
      </c>
      <c r="AG39" s="29"/>
      <c r="AO39" s="13"/>
    </row>
    <row r="40" spans="15:47" x14ac:dyDescent="0.25">
      <c r="O40" s="26">
        <v>1</v>
      </c>
      <c r="P40" s="26">
        <v>2</v>
      </c>
      <c r="Q40" s="26">
        <v>3</v>
      </c>
      <c r="R40" s="26">
        <v>4</v>
      </c>
      <c r="S40" s="26">
        <v>5</v>
      </c>
      <c r="T40" s="26">
        <v>6</v>
      </c>
      <c r="U40" s="26">
        <v>7</v>
      </c>
      <c r="V40" s="26">
        <v>8</v>
      </c>
      <c r="W40" s="26">
        <v>9</v>
      </c>
      <c r="X40" s="26">
        <v>10</v>
      </c>
      <c r="Y40" s="26">
        <v>11</v>
      </c>
      <c r="Z40" s="26">
        <v>12</v>
      </c>
      <c r="AA40" s="26">
        <v>13</v>
      </c>
      <c r="AB40" s="43">
        <v>14</v>
      </c>
      <c r="AC40" s="43">
        <v>15</v>
      </c>
      <c r="AD40" s="31" t="s">
        <v>8</v>
      </c>
      <c r="AF40" s="26">
        <v>1</v>
      </c>
      <c r="AG40" s="26">
        <v>2</v>
      </c>
      <c r="AH40" s="26">
        <v>3</v>
      </c>
      <c r="AI40" s="26">
        <v>4</v>
      </c>
      <c r="AJ40" s="26">
        <v>5</v>
      </c>
      <c r="AK40" s="26">
        <v>6</v>
      </c>
      <c r="AL40" s="26">
        <v>7</v>
      </c>
      <c r="AM40" s="26">
        <v>8</v>
      </c>
      <c r="AN40" s="26">
        <v>9</v>
      </c>
      <c r="AO40" s="26">
        <v>10</v>
      </c>
      <c r="AP40" s="26">
        <v>11</v>
      </c>
      <c r="AQ40" s="26">
        <v>12</v>
      </c>
      <c r="AR40" s="26">
        <v>13</v>
      </c>
      <c r="AS40" s="43">
        <v>14</v>
      </c>
      <c r="AT40" s="43">
        <v>15</v>
      </c>
      <c r="AU40" s="31" t="s">
        <v>8</v>
      </c>
    </row>
    <row r="41" spans="15:47" x14ac:dyDescent="0.25">
      <c r="O41" s="26">
        <v>8</v>
      </c>
      <c r="P41" s="26">
        <v>8</v>
      </c>
      <c r="Q41" s="26">
        <v>8</v>
      </c>
      <c r="R41" s="26">
        <v>8</v>
      </c>
      <c r="S41" s="26">
        <v>5</v>
      </c>
      <c r="T41" s="26">
        <v>7</v>
      </c>
      <c r="U41" s="26">
        <v>7</v>
      </c>
      <c r="V41" s="26">
        <v>7</v>
      </c>
      <c r="W41" s="26">
        <v>7</v>
      </c>
      <c r="X41" s="26">
        <v>5</v>
      </c>
      <c r="Y41" s="26">
        <v>5</v>
      </c>
      <c r="Z41" s="26">
        <v>5</v>
      </c>
      <c r="AA41" s="26">
        <v>5</v>
      </c>
      <c r="AB41" s="43">
        <v>5</v>
      </c>
      <c r="AC41" s="43">
        <v>5</v>
      </c>
      <c r="AD41" s="31" t="s">
        <v>51</v>
      </c>
      <c r="AF41" s="26">
        <v>8</v>
      </c>
      <c r="AG41" s="26">
        <v>8</v>
      </c>
      <c r="AH41" s="26">
        <v>8</v>
      </c>
      <c r="AI41" s="26">
        <v>8</v>
      </c>
      <c r="AJ41" s="26">
        <v>5</v>
      </c>
      <c r="AK41" s="26">
        <v>7</v>
      </c>
      <c r="AL41" s="26">
        <v>7</v>
      </c>
      <c r="AM41" s="26">
        <v>7</v>
      </c>
      <c r="AN41" s="26">
        <v>7</v>
      </c>
      <c r="AO41" s="26">
        <v>5</v>
      </c>
      <c r="AP41" s="26">
        <v>5</v>
      </c>
      <c r="AQ41" s="26">
        <v>5</v>
      </c>
      <c r="AR41" s="26">
        <v>5</v>
      </c>
      <c r="AS41" s="43">
        <v>5</v>
      </c>
      <c r="AT41" s="43">
        <v>5</v>
      </c>
      <c r="AU41" s="31" t="s">
        <v>51</v>
      </c>
    </row>
    <row r="42" spans="15:47" x14ac:dyDescent="0.25">
      <c r="O42" s="26">
        <v>5</v>
      </c>
      <c r="P42" s="26">
        <f t="shared" ref="P42:Z42" si="1">O42+P41</f>
        <v>13</v>
      </c>
      <c r="Q42" s="26">
        <f t="shared" si="1"/>
        <v>21</v>
      </c>
      <c r="R42" s="26">
        <f t="shared" si="1"/>
        <v>29</v>
      </c>
      <c r="S42" s="26">
        <f t="shared" si="1"/>
        <v>34</v>
      </c>
      <c r="T42" s="26">
        <f t="shared" si="1"/>
        <v>41</v>
      </c>
      <c r="U42" s="26">
        <f t="shared" si="1"/>
        <v>48</v>
      </c>
      <c r="V42" s="26">
        <f t="shared" si="1"/>
        <v>55</v>
      </c>
      <c r="W42" s="26">
        <f t="shared" si="1"/>
        <v>62</v>
      </c>
      <c r="X42" s="26">
        <f t="shared" si="1"/>
        <v>67</v>
      </c>
      <c r="Y42" s="26">
        <f t="shared" si="1"/>
        <v>72</v>
      </c>
      <c r="Z42" s="26">
        <f t="shared" si="1"/>
        <v>77</v>
      </c>
      <c r="AA42" s="26">
        <f>Z42+AA41</f>
        <v>82</v>
      </c>
      <c r="AB42" s="43">
        <f>AA42+AB41</f>
        <v>87</v>
      </c>
      <c r="AC42" s="43">
        <f>AB42+AC41</f>
        <v>92</v>
      </c>
      <c r="AD42" s="31" t="s">
        <v>52</v>
      </c>
      <c r="AF42" s="26">
        <v>5</v>
      </c>
      <c r="AG42" s="26">
        <f t="shared" ref="AG42" si="2">AF42+AG41</f>
        <v>13</v>
      </c>
      <c r="AH42" s="26">
        <f t="shared" ref="AH42" si="3">AG42+AH41</f>
        <v>21</v>
      </c>
      <c r="AI42" s="26">
        <f t="shared" ref="AI42" si="4">AH42+AI41</f>
        <v>29</v>
      </c>
      <c r="AJ42" s="26">
        <f t="shared" ref="AJ42" si="5">AI42+AJ41</f>
        <v>34</v>
      </c>
      <c r="AK42" s="26">
        <f t="shared" ref="AK42" si="6">AJ42+AK41</f>
        <v>41</v>
      </c>
      <c r="AL42" s="26">
        <f t="shared" ref="AL42" si="7">AK42+AL41</f>
        <v>48</v>
      </c>
      <c r="AM42" s="26">
        <f t="shared" ref="AM42" si="8">AL42+AM41</f>
        <v>55</v>
      </c>
      <c r="AN42" s="26">
        <f t="shared" ref="AN42" si="9">AM42+AN41</f>
        <v>62</v>
      </c>
      <c r="AO42" s="26">
        <f t="shared" ref="AO42" si="10">AN42+AO41</f>
        <v>67</v>
      </c>
      <c r="AP42" s="26">
        <f t="shared" ref="AP42" si="11">AO42+AP41</f>
        <v>72</v>
      </c>
      <c r="AQ42" s="26">
        <f t="shared" ref="AQ42" si="12">AP42+AQ41</f>
        <v>77</v>
      </c>
      <c r="AR42" s="26">
        <f>AQ42+AR41</f>
        <v>82</v>
      </c>
      <c r="AS42" s="43">
        <f>AR42+AS41</f>
        <v>87</v>
      </c>
      <c r="AT42" s="43">
        <f>AS42+AT41</f>
        <v>92</v>
      </c>
      <c r="AU42" s="31" t="s">
        <v>52</v>
      </c>
    </row>
    <row r="43" spans="15:47" x14ac:dyDescent="0.25">
      <c r="O43" s="27"/>
      <c r="P43" s="27"/>
      <c r="Q43" s="27"/>
      <c r="R43" s="27"/>
      <c r="S43" s="27"/>
      <c r="T43" s="27"/>
      <c r="U43" s="27"/>
      <c r="V43" s="11"/>
      <c r="W43" s="27"/>
      <c r="X43" s="27"/>
      <c r="Y43" s="27"/>
      <c r="Z43" s="27"/>
      <c r="AA43" s="27"/>
      <c r="AB43" s="27"/>
      <c r="AC43" s="27"/>
      <c r="AD43" s="27"/>
      <c r="AF43" s="27"/>
      <c r="AG43" s="27"/>
      <c r="AH43" s="27"/>
      <c r="AI43" s="27"/>
      <c r="AJ43" s="27"/>
      <c r="AK43" s="27"/>
      <c r="AL43" s="27"/>
      <c r="AM43" s="11"/>
      <c r="AN43" s="27"/>
      <c r="AO43" s="27"/>
      <c r="AP43" s="27"/>
      <c r="AQ43" s="27"/>
      <c r="AR43" s="27"/>
      <c r="AS43" s="27"/>
      <c r="AT43" s="27"/>
      <c r="AU43" s="27"/>
    </row>
    <row r="44" spans="15:47" x14ac:dyDescent="0.25">
      <c r="O44" s="27"/>
      <c r="P44" s="27"/>
      <c r="Q44" s="27"/>
      <c r="R44" s="27"/>
      <c r="S44" s="27"/>
      <c r="T44" s="27"/>
      <c r="U44" s="27"/>
      <c r="V44" s="23"/>
      <c r="W44" s="23"/>
      <c r="X44" s="27"/>
      <c r="Y44" s="27"/>
      <c r="Z44" s="27"/>
      <c r="AA44" s="23"/>
      <c r="AB44" s="27"/>
      <c r="AC44" s="27"/>
      <c r="AD44" s="27"/>
      <c r="AF44" s="27"/>
      <c r="AG44" s="27"/>
      <c r="AH44" s="27"/>
      <c r="AI44" s="27"/>
      <c r="AJ44" s="27"/>
      <c r="AK44" s="27"/>
      <c r="AL44" s="27"/>
      <c r="AM44" s="23"/>
      <c r="AN44" s="23"/>
      <c r="AO44" s="27"/>
      <c r="AP44" s="27"/>
      <c r="AQ44" s="27"/>
      <c r="AR44" s="23"/>
      <c r="AS44" s="27"/>
      <c r="AT44" s="27"/>
      <c r="AU44" s="27"/>
    </row>
    <row r="45" spans="15:47" x14ac:dyDescent="0.25">
      <c r="O45" s="27"/>
      <c r="P45" s="23"/>
      <c r="Q45" s="27"/>
      <c r="R45" s="27"/>
      <c r="S45" s="25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F45" s="27"/>
      <c r="AG45" s="23"/>
      <c r="AH45" s="27"/>
      <c r="AI45" s="27"/>
      <c r="AJ45" s="25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</row>
    <row r="46" spans="15:47" x14ac:dyDescent="0.25">
      <c r="O46" s="27"/>
      <c r="P46" s="27" t="s">
        <v>80</v>
      </c>
      <c r="Q46" s="27"/>
      <c r="R46" s="27"/>
      <c r="S46" s="27"/>
      <c r="T46" s="23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F46" s="27"/>
      <c r="AG46" s="27" t="s">
        <v>80</v>
      </c>
      <c r="AH46" s="27"/>
      <c r="AI46" s="27"/>
      <c r="AJ46" s="27"/>
      <c r="AK46" s="23"/>
      <c r="AL46" s="27"/>
      <c r="AM46" s="27"/>
      <c r="AN46" s="27"/>
      <c r="AO46" s="27"/>
      <c r="AP46" s="27"/>
      <c r="AQ46" s="27"/>
      <c r="AR46" s="27"/>
      <c r="AS46" s="27"/>
      <c r="AT46" s="27"/>
      <c r="AU46" s="27"/>
    </row>
    <row r="47" spans="15:47" x14ac:dyDescent="0.25">
      <c r="O47" s="27"/>
      <c r="P47" s="27"/>
      <c r="Q47" s="11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F47" s="27"/>
      <c r="AG47" s="27"/>
      <c r="AH47" s="11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</row>
    <row r="48" spans="15:47" x14ac:dyDescent="0.25">
      <c r="O48" s="27"/>
      <c r="P48" s="11"/>
      <c r="Q48" s="27"/>
      <c r="R48" s="25"/>
      <c r="S48" s="23"/>
      <c r="T48" s="27"/>
      <c r="U48" s="27"/>
      <c r="V48" s="11"/>
      <c r="W48" s="23"/>
      <c r="X48" s="27"/>
      <c r="Y48" s="27"/>
      <c r="Z48" s="27"/>
      <c r="AA48" s="23"/>
      <c r="AB48" s="27"/>
      <c r="AC48" s="27"/>
      <c r="AD48" s="27"/>
      <c r="AF48" s="27"/>
      <c r="AG48" s="11"/>
      <c r="AH48" s="27"/>
      <c r="AI48" s="25"/>
      <c r="AJ48" s="23"/>
      <c r="AK48" s="27"/>
      <c r="AL48" s="27"/>
      <c r="AM48" s="11"/>
      <c r="AN48" s="23"/>
      <c r="AO48" s="27"/>
      <c r="AP48" s="27"/>
      <c r="AQ48" s="27"/>
      <c r="AR48" s="23"/>
      <c r="AS48" s="27"/>
      <c r="AT48" s="27"/>
      <c r="AU48" s="27"/>
    </row>
    <row r="49" spans="15:47" x14ac:dyDescent="0.25"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</row>
    <row r="50" spans="15:47" x14ac:dyDescent="0.25">
      <c r="O50" s="27"/>
      <c r="P50" s="27"/>
      <c r="Q50" s="23" t="s">
        <v>55</v>
      </c>
      <c r="R50" s="27"/>
      <c r="S50" s="27"/>
      <c r="T50" s="27"/>
      <c r="U50" s="27" t="s">
        <v>54</v>
      </c>
      <c r="V50" s="28"/>
      <c r="W50" s="27"/>
      <c r="X50" s="27"/>
      <c r="Y50" s="27" t="s">
        <v>56</v>
      </c>
      <c r="Z50" s="27"/>
      <c r="AA50" s="23"/>
      <c r="AB50" s="27"/>
      <c r="AC50" s="27"/>
      <c r="AD50" s="27"/>
      <c r="AF50" s="27"/>
      <c r="AG50" s="27"/>
      <c r="AH50" s="23" t="s">
        <v>55</v>
      </c>
      <c r="AI50" s="27"/>
      <c r="AJ50" s="27"/>
      <c r="AK50" s="27"/>
      <c r="AL50" s="27" t="s">
        <v>54</v>
      </c>
      <c r="AM50" s="28"/>
      <c r="AN50" s="27"/>
      <c r="AO50" s="27"/>
      <c r="AP50" s="27" t="s">
        <v>56</v>
      </c>
      <c r="AQ50" s="27"/>
      <c r="AR50" s="23"/>
      <c r="AS50" s="27"/>
      <c r="AT50" s="27"/>
      <c r="AU50" s="27"/>
    </row>
    <row r="51" spans="15:47" x14ac:dyDescent="0.25"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</row>
    <row r="52" spans="15:47" x14ac:dyDescent="0.25">
      <c r="O52" s="27"/>
      <c r="P52" s="27"/>
      <c r="Q52" s="27"/>
      <c r="R52" s="27"/>
      <c r="S52" s="23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F52" s="27"/>
      <c r="AG52" s="27"/>
      <c r="AH52" s="27"/>
      <c r="AI52" s="27"/>
      <c r="AJ52" s="23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</row>
    <row r="53" spans="15:47" x14ac:dyDescent="0.25">
      <c r="O53" s="27"/>
      <c r="P53" s="27"/>
      <c r="Q53" s="27"/>
      <c r="R53" s="27"/>
      <c r="S53" s="27" t="s">
        <v>57</v>
      </c>
      <c r="T53" s="27"/>
      <c r="U53" s="27"/>
      <c r="V53" s="23"/>
      <c r="W53" s="23"/>
      <c r="X53" s="27"/>
      <c r="Y53" s="27"/>
      <c r="Z53" s="27"/>
      <c r="AA53" s="27"/>
      <c r="AB53" s="27"/>
      <c r="AC53" s="27"/>
      <c r="AD53" s="27"/>
      <c r="AF53" s="27"/>
      <c r="AG53" s="27"/>
      <c r="AH53" s="27"/>
      <c r="AI53" s="27"/>
      <c r="AJ53" s="27" t="s">
        <v>57</v>
      </c>
      <c r="AK53" s="27"/>
      <c r="AL53" s="27"/>
      <c r="AM53" s="23"/>
      <c r="AN53" s="23"/>
      <c r="AO53" s="27"/>
      <c r="AP53" s="27"/>
      <c r="AQ53" s="27"/>
      <c r="AR53" s="27"/>
      <c r="AS53" s="27"/>
      <c r="AT53" s="27"/>
      <c r="AU53" s="27"/>
    </row>
    <row r="54" spans="15:47" x14ac:dyDescent="0.25">
      <c r="O54" s="27"/>
      <c r="P54" s="27"/>
      <c r="Q54" s="27"/>
      <c r="R54" s="27"/>
      <c r="S54" s="27"/>
      <c r="T54" s="27"/>
      <c r="U54" s="27"/>
      <c r="V54" s="27"/>
      <c r="W54" s="23"/>
      <c r="X54" s="27"/>
      <c r="Y54" s="27"/>
      <c r="Z54" s="27"/>
      <c r="AA54" s="27"/>
      <c r="AB54" s="27"/>
      <c r="AC54" s="27"/>
      <c r="AD54" s="27"/>
      <c r="AF54" s="27"/>
      <c r="AG54" s="27"/>
      <c r="AH54" s="27"/>
      <c r="AI54" s="27"/>
      <c r="AJ54" s="27"/>
      <c r="AK54" s="27"/>
      <c r="AL54" s="27"/>
      <c r="AM54" s="27"/>
      <c r="AN54" s="23"/>
      <c r="AO54" s="27"/>
      <c r="AP54" s="27"/>
      <c r="AQ54" s="27"/>
      <c r="AR54" s="27"/>
      <c r="AS54" s="27"/>
      <c r="AT54" s="27"/>
      <c r="AU54" s="27"/>
    </row>
    <row r="55" spans="15:47" x14ac:dyDescent="0.25">
      <c r="O55" s="27"/>
      <c r="P55" s="27"/>
      <c r="Q55" s="27"/>
      <c r="R55" s="27"/>
      <c r="S55" s="27"/>
      <c r="T55" s="27"/>
      <c r="U55" s="27"/>
      <c r="V55" s="27"/>
      <c r="W55" s="23"/>
      <c r="X55" s="27"/>
      <c r="Y55" s="27"/>
      <c r="Z55" s="27"/>
      <c r="AA55" s="27"/>
      <c r="AB55" s="27"/>
      <c r="AC55" s="27"/>
      <c r="AD55" s="27"/>
      <c r="AF55" s="27"/>
      <c r="AG55" s="27"/>
      <c r="AH55" s="27"/>
      <c r="AI55" s="27"/>
      <c r="AJ55" s="27"/>
      <c r="AK55" s="27"/>
      <c r="AL55" s="27"/>
      <c r="AM55" s="27"/>
      <c r="AN55" s="23"/>
      <c r="AO55" s="27"/>
      <c r="AP55" s="27"/>
      <c r="AQ55" s="27"/>
      <c r="AR55" s="27"/>
      <c r="AS55" s="27"/>
      <c r="AT55" s="27"/>
      <c r="AU55" s="27"/>
    </row>
    <row r="56" spans="15:47" x14ac:dyDescent="0.25">
      <c r="O56" s="27"/>
      <c r="P56" s="27"/>
      <c r="Q56" s="27"/>
      <c r="R56" s="27"/>
      <c r="S56" s="27"/>
      <c r="T56" s="27"/>
      <c r="U56" s="27"/>
      <c r="V56" s="27"/>
      <c r="W56" s="23"/>
      <c r="X56" s="27"/>
      <c r="Y56" s="27"/>
      <c r="Z56" s="27"/>
      <c r="AA56" s="27"/>
      <c r="AB56" s="27"/>
      <c r="AC56" s="27"/>
      <c r="AD56" s="27"/>
      <c r="AF56" s="27"/>
      <c r="AG56" s="27"/>
      <c r="AH56" s="27"/>
      <c r="AI56" s="27"/>
      <c r="AJ56" s="27"/>
      <c r="AK56" s="27"/>
      <c r="AL56" s="27"/>
      <c r="AM56" s="27"/>
      <c r="AN56" s="23"/>
      <c r="AO56" s="27"/>
      <c r="AP56" s="27"/>
      <c r="AQ56" s="27"/>
      <c r="AR56" s="27"/>
      <c r="AS56" s="27"/>
      <c r="AT56" s="27"/>
      <c r="AU56" s="27"/>
    </row>
    <row r="57" spans="15:47" x14ac:dyDescent="0.25">
      <c r="O57" s="27"/>
      <c r="P57" s="27"/>
      <c r="Q57" s="27"/>
      <c r="R57" s="27"/>
      <c r="S57" s="27"/>
      <c r="T57" s="27"/>
      <c r="U57" s="27"/>
      <c r="V57" s="27"/>
      <c r="W57" s="23"/>
      <c r="X57" s="27"/>
      <c r="Y57" s="27"/>
      <c r="Z57" s="27"/>
      <c r="AA57" s="27"/>
      <c r="AB57" s="27"/>
      <c r="AC57" s="27"/>
      <c r="AD57" s="27"/>
      <c r="AF57" s="27"/>
      <c r="AG57" s="27"/>
      <c r="AH57" s="27"/>
      <c r="AI57" s="27"/>
      <c r="AJ57" s="27"/>
      <c r="AK57" s="27"/>
      <c r="AL57" s="27"/>
      <c r="AM57" s="27"/>
      <c r="AN57" s="23"/>
      <c r="AO57" s="27"/>
      <c r="AP57" s="27"/>
      <c r="AQ57" s="27"/>
      <c r="AR57" s="27"/>
      <c r="AS57" s="27"/>
      <c r="AT57" s="27"/>
      <c r="AU57" s="27"/>
    </row>
    <row r="59" spans="15:47" x14ac:dyDescent="0.25">
      <c r="O59" s="29" t="s">
        <v>58</v>
      </c>
      <c r="P59" s="29"/>
      <c r="X59" s="13"/>
    </row>
    <row r="60" spans="15:47" x14ac:dyDescent="0.25">
      <c r="O60" s="26">
        <v>1</v>
      </c>
      <c r="P60" s="26">
        <v>2</v>
      </c>
      <c r="Q60" s="26">
        <v>3</v>
      </c>
      <c r="R60" s="26">
        <v>4</v>
      </c>
      <c r="S60" s="26">
        <v>5</v>
      </c>
      <c r="T60" s="26">
        <v>6</v>
      </c>
      <c r="U60" s="26">
        <v>7</v>
      </c>
      <c r="V60" s="26">
        <v>8</v>
      </c>
      <c r="W60" s="26">
        <v>9</v>
      </c>
      <c r="X60" s="26">
        <v>10</v>
      </c>
      <c r="Y60" s="26">
        <v>11</v>
      </c>
      <c r="Z60" s="26">
        <v>12</v>
      </c>
      <c r="AA60" s="26">
        <v>13</v>
      </c>
      <c r="AB60" s="31" t="s">
        <v>8</v>
      </c>
    </row>
    <row r="61" spans="15:47" x14ac:dyDescent="0.25">
      <c r="O61" s="26">
        <v>4</v>
      </c>
      <c r="P61" s="26">
        <v>4</v>
      </c>
      <c r="Q61" s="26">
        <v>4</v>
      </c>
      <c r="R61" s="26">
        <v>2</v>
      </c>
      <c r="S61" s="26">
        <v>4</v>
      </c>
      <c r="T61" s="26">
        <v>4</v>
      </c>
      <c r="U61" s="26">
        <v>4</v>
      </c>
      <c r="V61" s="26">
        <v>7</v>
      </c>
      <c r="W61" s="26">
        <v>8</v>
      </c>
      <c r="X61" s="26">
        <v>8</v>
      </c>
      <c r="Y61" s="26">
        <v>8</v>
      </c>
      <c r="Z61" s="26">
        <v>8</v>
      </c>
      <c r="AA61" s="26">
        <v>8</v>
      </c>
      <c r="AB61" s="31" t="s">
        <v>51</v>
      </c>
    </row>
    <row r="62" spans="15:47" x14ac:dyDescent="0.25">
      <c r="O62" s="26">
        <v>5</v>
      </c>
      <c r="P62" s="26">
        <f t="shared" ref="P62" si="13">O62+P61</f>
        <v>9</v>
      </c>
      <c r="Q62" s="26">
        <f t="shared" ref="Q62" si="14">P62+Q61</f>
        <v>13</v>
      </c>
      <c r="R62" s="26">
        <f t="shared" ref="R62" si="15">Q62+R61</f>
        <v>15</v>
      </c>
      <c r="S62" s="26">
        <f t="shared" ref="S62" si="16">R62+S61</f>
        <v>19</v>
      </c>
      <c r="T62" s="26">
        <f t="shared" ref="T62" si="17">S62+T61</f>
        <v>23</v>
      </c>
      <c r="U62" s="26">
        <f t="shared" ref="U62" si="18">T62+U61</f>
        <v>27</v>
      </c>
      <c r="V62" s="26">
        <f t="shared" ref="V62" si="19">U62+V61</f>
        <v>34</v>
      </c>
      <c r="W62" s="26">
        <f t="shared" ref="W62" si="20">V62+W61</f>
        <v>42</v>
      </c>
      <c r="X62" s="26">
        <f t="shared" ref="X62" si="21">W62+X61</f>
        <v>50</v>
      </c>
      <c r="Y62" s="26">
        <f t="shared" ref="Y62" si="22">X62+Y61</f>
        <v>58</v>
      </c>
      <c r="Z62" s="26">
        <f t="shared" ref="Z62" si="23">Y62+Z61</f>
        <v>66</v>
      </c>
      <c r="AA62" s="26">
        <f>Z62+AA61</f>
        <v>74</v>
      </c>
      <c r="AB62" s="31" t="s">
        <v>52</v>
      </c>
    </row>
    <row r="63" spans="15:47" x14ac:dyDescent="0.25">
      <c r="O63" s="27"/>
      <c r="P63" s="27"/>
      <c r="Q63" s="27"/>
      <c r="R63" s="27"/>
      <c r="S63" s="27"/>
      <c r="T63" s="27"/>
      <c r="U63" s="27"/>
      <c r="V63" s="11"/>
      <c r="W63" s="27"/>
      <c r="X63" s="27"/>
      <c r="Y63" s="27"/>
      <c r="Z63" s="27"/>
      <c r="AA63" s="27"/>
      <c r="AB63" s="27"/>
    </row>
    <row r="64" spans="15:47" x14ac:dyDescent="0.25">
      <c r="O64" s="27"/>
      <c r="P64" s="27"/>
      <c r="Q64" s="27"/>
      <c r="R64" s="27"/>
      <c r="S64" s="27"/>
      <c r="T64" s="27"/>
      <c r="U64" s="27"/>
      <c r="V64" s="23"/>
      <c r="W64" s="23"/>
      <c r="X64" s="27"/>
      <c r="Y64" s="27"/>
      <c r="Z64" s="27"/>
      <c r="AA64" s="23"/>
      <c r="AB64" s="27"/>
    </row>
    <row r="65" spans="3:28" x14ac:dyDescent="0.25">
      <c r="O65" s="27"/>
      <c r="P65" s="23"/>
      <c r="Q65" s="27"/>
      <c r="R65" s="27"/>
      <c r="S65" s="25"/>
      <c r="T65" s="27"/>
      <c r="U65" s="27"/>
      <c r="V65" s="27"/>
      <c r="W65" s="27"/>
      <c r="X65" s="27"/>
      <c r="Y65" s="27"/>
      <c r="Z65" s="27"/>
      <c r="AA65" s="27"/>
      <c r="AB65" s="27"/>
    </row>
    <row r="66" spans="3:28" x14ac:dyDescent="0.25">
      <c r="O66" s="27"/>
      <c r="P66" s="27" t="s">
        <v>55</v>
      </c>
      <c r="Q66" s="27"/>
      <c r="R66" s="27"/>
      <c r="S66" s="27"/>
      <c r="T66" s="23"/>
      <c r="U66" s="11"/>
      <c r="V66" s="27"/>
      <c r="W66" s="27"/>
      <c r="X66" s="27" t="s">
        <v>57</v>
      </c>
      <c r="Y66" s="27"/>
      <c r="Z66" s="27"/>
      <c r="AA66" s="27"/>
      <c r="AB66" s="27"/>
    </row>
    <row r="67" spans="3:28" x14ac:dyDescent="0.25">
      <c r="O67" s="27"/>
      <c r="P67" s="27"/>
      <c r="Q67" s="11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3:28" x14ac:dyDescent="0.25">
      <c r="O68" s="27"/>
      <c r="P68" s="11"/>
      <c r="Q68" s="27"/>
      <c r="R68" s="25"/>
      <c r="S68" s="23"/>
      <c r="T68" s="27"/>
      <c r="U68" s="27"/>
      <c r="V68" s="11"/>
      <c r="W68" s="23"/>
      <c r="X68" s="27"/>
      <c r="Y68" s="27"/>
      <c r="Z68" s="27"/>
      <c r="AA68" s="23"/>
      <c r="AB68" s="27"/>
    </row>
    <row r="69" spans="3:28" x14ac:dyDescent="0.25"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3:28" x14ac:dyDescent="0.25">
      <c r="O70" s="27"/>
      <c r="P70" s="27"/>
      <c r="Q70" s="23" t="s">
        <v>53</v>
      </c>
      <c r="R70" s="27"/>
      <c r="S70" s="27"/>
      <c r="T70" s="27"/>
      <c r="U70" s="27" t="s">
        <v>54</v>
      </c>
      <c r="V70" s="28"/>
      <c r="W70" s="27"/>
      <c r="X70" s="27"/>
      <c r="Y70" s="27" t="s">
        <v>56</v>
      </c>
      <c r="Z70" s="27"/>
      <c r="AA70" s="23"/>
      <c r="AB70" s="27"/>
    </row>
    <row r="71" spans="3:28" x14ac:dyDescent="0.25"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3:28" x14ac:dyDescent="0.25">
      <c r="O72" s="27"/>
      <c r="P72" s="27"/>
      <c r="Q72" s="27"/>
      <c r="R72" s="27"/>
      <c r="S72" s="23"/>
      <c r="T72" s="27"/>
      <c r="U72" s="27"/>
      <c r="V72" s="27"/>
      <c r="W72" s="27"/>
      <c r="X72" s="27"/>
      <c r="Y72" s="27"/>
      <c r="Z72" s="27"/>
      <c r="AA72" s="27"/>
      <c r="AB72" s="27"/>
    </row>
    <row r="73" spans="3:28" x14ac:dyDescent="0.25">
      <c r="O73" s="27"/>
      <c r="P73" s="27"/>
      <c r="Q73" s="27"/>
      <c r="R73" s="27"/>
      <c r="S73" s="27"/>
      <c r="T73" s="27"/>
      <c r="U73" s="27"/>
      <c r="V73" s="23"/>
      <c r="W73" s="23"/>
      <c r="X73" s="27"/>
      <c r="Y73" s="27"/>
      <c r="Z73" s="27"/>
      <c r="AA73" s="27"/>
      <c r="AB73" s="27"/>
    </row>
    <row r="74" spans="3:28" x14ac:dyDescent="0.25">
      <c r="O74" s="27"/>
      <c r="P74" s="27"/>
      <c r="Q74" s="27"/>
      <c r="R74" s="27"/>
      <c r="S74" s="27"/>
      <c r="T74" s="27"/>
      <c r="U74" s="27"/>
      <c r="V74" s="27"/>
      <c r="W74" s="23"/>
      <c r="X74" s="27"/>
      <c r="Y74" s="27"/>
      <c r="Z74" s="27"/>
      <c r="AA74" s="27"/>
      <c r="AB74" s="27"/>
    </row>
    <row r="75" spans="3:28" x14ac:dyDescent="0.25">
      <c r="O75" s="27"/>
      <c r="P75" s="27"/>
      <c r="Q75" s="27"/>
      <c r="R75" s="27"/>
      <c r="S75" s="27"/>
      <c r="T75" s="27"/>
      <c r="U75" s="27"/>
      <c r="V75" s="27"/>
      <c r="W75" s="23"/>
      <c r="X75" s="27"/>
      <c r="Y75" s="27"/>
      <c r="Z75" s="27"/>
      <c r="AA75" s="27"/>
      <c r="AB75" s="27"/>
    </row>
    <row r="76" spans="3:28" x14ac:dyDescent="0.25">
      <c r="C76" s="32" t="s">
        <v>59</v>
      </c>
      <c r="D76" s="33">
        <v>20</v>
      </c>
      <c r="O76" s="27"/>
      <c r="P76" s="27"/>
      <c r="Q76" s="27"/>
      <c r="R76" s="27"/>
      <c r="S76" s="27"/>
      <c r="T76" s="27"/>
      <c r="U76" s="27"/>
      <c r="V76" s="27"/>
      <c r="W76" s="23"/>
      <c r="X76" s="27"/>
      <c r="Y76" s="27"/>
      <c r="Z76" s="27"/>
      <c r="AA76" s="27"/>
      <c r="AB76" s="27"/>
    </row>
    <row r="77" spans="3:28" x14ac:dyDescent="0.25">
      <c r="K77">
        <f>I81+I82</f>
        <v>-0.97358476702247099</v>
      </c>
      <c r="O77" s="27"/>
      <c r="P77" s="27"/>
      <c r="Q77" s="27"/>
      <c r="R77" s="27"/>
      <c r="S77" s="27"/>
      <c r="T77" s="27"/>
      <c r="U77" s="27"/>
      <c r="V77" s="27"/>
      <c r="W77" s="23"/>
      <c r="X77" s="27"/>
      <c r="Y77" s="27"/>
      <c r="Z77" s="27"/>
      <c r="AA77" s="27"/>
      <c r="AB77" s="27"/>
    </row>
    <row r="79" spans="3:28" x14ac:dyDescent="0.25">
      <c r="F79" s="23" t="s">
        <v>60</v>
      </c>
      <c r="G79" s="23" t="s">
        <v>5</v>
      </c>
      <c r="H79" s="23" t="s">
        <v>61</v>
      </c>
      <c r="I79" s="34" t="s">
        <v>62</v>
      </c>
    </row>
    <row r="80" spans="3:28" x14ac:dyDescent="0.25">
      <c r="E80" t="s">
        <v>72</v>
      </c>
      <c r="F80" s="35">
        <v>18</v>
      </c>
      <c r="G80" s="35">
        <v>15</v>
      </c>
      <c r="H80" s="35">
        <f>SQRT(0.25+0.111+0.694)</f>
        <v>1.0271319292087069</v>
      </c>
      <c r="I80" s="36">
        <f>(F80-G80)/H80</f>
        <v>2.9207543010674129</v>
      </c>
      <c r="J80" s="39">
        <v>0.91</v>
      </c>
    </row>
    <row r="81" spans="2:10" x14ac:dyDescent="0.25">
      <c r="E81" t="s">
        <v>73</v>
      </c>
      <c r="F81" s="30">
        <v>13</v>
      </c>
      <c r="G81" s="30">
        <f>G80</f>
        <v>15</v>
      </c>
      <c r="H81" s="30">
        <f>H80</f>
        <v>1.0271319292087069</v>
      </c>
      <c r="I81" s="41">
        <f>(F81-G81)/H81</f>
        <v>-1.947169534044942</v>
      </c>
      <c r="J81" s="39">
        <v>0</v>
      </c>
    </row>
    <row r="82" spans="2:10" x14ac:dyDescent="0.25">
      <c r="E82" t="s">
        <v>73</v>
      </c>
      <c r="F82" s="35">
        <v>16</v>
      </c>
      <c r="G82" s="35">
        <f>G80</f>
        <v>15</v>
      </c>
      <c r="H82" s="35">
        <f>H80</f>
        <v>1.0271319292087069</v>
      </c>
      <c r="I82" s="36">
        <f>(F82-G82)/H82</f>
        <v>0.97358476702247099</v>
      </c>
      <c r="J82" s="39">
        <v>0.98</v>
      </c>
    </row>
    <row r="83" spans="2:10" x14ac:dyDescent="0.25">
      <c r="E83" t="s">
        <v>74</v>
      </c>
      <c r="F83" s="35">
        <f>G83*H83+I83</f>
        <v>17.729978938130603</v>
      </c>
      <c r="G83" s="35">
        <f>G80</f>
        <v>15</v>
      </c>
      <c r="H83" s="35">
        <f>H80</f>
        <v>1.0271319292087069</v>
      </c>
      <c r="I83" s="36">
        <v>2.323</v>
      </c>
      <c r="J83" s="39">
        <v>0.99</v>
      </c>
    </row>
    <row r="84" spans="2:10" x14ac:dyDescent="0.25">
      <c r="B84" s="23" t="s">
        <v>63</v>
      </c>
      <c r="C84" s="23" t="s">
        <v>64</v>
      </c>
      <c r="D84" s="23" t="s">
        <v>65</v>
      </c>
      <c r="E84" s="23" t="s">
        <v>66</v>
      </c>
      <c r="F84" s="23" t="s">
        <v>67</v>
      </c>
      <c r="G84" s="23" t="s">
        <v>68</v>
      </c>
      <c r="H84" s="23" t="s">
        <v>69</v>
      </c>
    </row>
    <row r="85" spans="2:10" x14ac:dyDescent="0.25">
      <c r="B85" s="37" t="s">
        <v>9</v>
      </c>
      <c r="C85" s="38">
        <v>5</v>
      </c>
      <c r="D85" s="38">
        <f>C85*D76*H18</f>
        <v>200</v>
      </c>
      <c r="E85" s="38">
        <f>B18</f>
        <v>4</v>
      </c>
      <c r="F85" s="38">
        <f>D85+G85*D76*H18</f>
        <v>240</v>
      </c>
      <c r="G85" s="38">
        <f>C85-E85</f>
        <v>1</v>
      </c>
      <c r="H85" s="38">
        <f>(F85-D85)/G85</f>
        <v>40</v>
      </c>
    </row>
    <row r="86" spans="2:10" x14ac:dyDescent="0.25">
      <c r="B86" s="37" t="s">
        <v>10</v>
      </c>
      <c r="C86" s="38">
        <f>E19</f>
        <v>4</v>
      </c>
      <c r="D86" s="38">
        <f>C86*D76*H19</f>
        <v>240</v>
      </c>
      <c r="E86" s="38">
        <f>B19</f>
        <v>2</v>
      </c>
      <c r="F86" s="38">
        <f>D86+G86*D76*H19</f>
        <v>360</v>
      </c>
      <c r="G86" s="38">
        <f t="shared" ref="G86:G89" si="24">C86-E86</f>
        <v>2</v>
      </c>
      <c r="H86" s="38">
        <f>(F86-D86)/G86</f>
        <v>60</v>
      </c>
    </row>
    <row r="87" spans="2:10" x14ac:dyDescent="0.25">
      <c r="B87" s="37" t="s">
        <v>11</v>
      </c>
      <c r="C87" s="38">
        <v>9</v>
      </c>
      <c r="D87" s="38">
        <f>C87*D76*H20</f>
        <v>540</v>
      </c>
      <c r="E87" s="38">
        <f>B20</f>
        <v>7</v>
      </c>
      <c r="F87" s="38">
        <f>D87+G87*D76*H20</f>
        <v>660</v>
      </c>
      <c r="G87" s="38">
        <f>C87-E87</f>
        <v>2</v>
      </c>
      <c r="H87" s="38">
        <f t="shared" ref="H87:H89" si="25">(F87-D87)/G87</f>
        <v>60</v>
      </c>
    </row>
    <row r="88" spans="2:10" x14ac:dyDescent="0.25">
      <c r="B88" s="37" t="s">
        <v>12</v>
      </c>
      <c r="C88" s="38">
        <f>E21</f>
        <v>4</v>
      </c>
      <c r="D88" s="38">
        <f>C88*D76*H21</f>
        <v>320</v>
      </c>
      <c r="E88" s="38">
        <f>B21</f>
        <v>3</v>
      </c>
      <c r="F88" s="38">
        <f>D88+G88*D76*H21</f>
        <v>400</v>
      </c>
      <c r="G88" s="38">
        <f t="shared" si="24"/>
        <v>1</v>
      </c>
      <c r="H88" s="38">
        <f t="shared" si="25"/>
        <v>80</v>
      </c>
    </row>
    <row r="89" spans="2:10" x14ac:dyDescent="0.25">
      <c r="B89" s="37" t="s">
        <v>13</v>
      </c>
      <c r="C89" s="38">
        <v>6</v>
      </c>
      <c r="D89" s="38">
        <f>C89*D76*H22</f>
        <v>600</v>
      </c>
      <c r="E89" s="38">
        <f>B22</f>
        <v>4</v>
      </c>
      <c r="F89" s="38">
        <f>D89+G89*D76*H22</f>
        <v>800</v>
      </c>
      <c r="G89" s="38">
        <f t="shared" si="24"/>
        <v>2</v>
      </c>
      <c r="H89" s="38">
        <f t="shared" si="25"/>
        <v>100</v>
      </c>
    </row>
    <row r="90" spans="2:10" x14ac:dyDescent="0.25">
      <c r="D90" s="40">
        <f>SUM(D85:D89)</f>
        <v>1900</v>
      </c>
    </row>
    <row r="92" spans="2:10" x14ac:dyDescent="0.25">
      <c r="B92" s="45" t="s">
        <v>70</v>
      </c>
      <c r="C92" s="45"/>
      <c r="D92" s="45"/>
      <c r="E92" s="45"/>
      <c r="F92" s="45"/>
      <c r="G92">
        <f>40*2</f>
        <v>80</v>
      </c>
      <c r="H92">
        <f>D90+G92</f>
        <v>1980</v>
      </c>
    </row>
    <row r="93" spans="2:10" x14ac:dyDescent="0.25">
      <c r="B93" s="45" t="s">
        <v>71</v>
      </c>
      <c r="C93" s="45"/>
      <c r="D93" s="45"/>
      <c r="E93" s="45"/>
      <c r="F93" s="45"/>
      <c r="G93">
        <f>40*4</f>
        <v>160</v>
      </c>
      <c r="H93">
        <f>D90+G93</f>
        <v>2060</v>
      </c>
    </row>
  </sheetData>
  <mergeCells count="7">
    <mergeCell ref="T30:U30"/>
    <mergeCell ref="V30:W30"/>
    <mergeCell ref="B92:F92"/>
    <mergeCell ref="B93:F93"/>
    <mergeCell ref="O1:Q1"/>
    <mergeCell ref="K24:L24"/>
    <mergeCell ref="K25:L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2021-08-03T20:15:09Z</dcterms:modified>
</cp:coreProperties>
</file>